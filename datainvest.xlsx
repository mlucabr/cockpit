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lcardoso\Downloads\"/>
    </mc:Choice>
  </mc:AlternateContent>
  <xr:revisionPtr revIDLastSave="0" documentId="13_ncr:1_{C1AB3976-10B1-4EB1-83A0-79161CD9E327}" xr6:coauthVersionLast="47" xr6:coauthVersionMax="47" xr10:uidLastSave="{00000000-0000-0000-0000-000000000000}"/>
  <bookViews>
    <workbookView xWindow="-120" yWindow="-120" windowWidth="29040" windowHeight="15720" tabRatio="883" activeTab="3" xr2:uid="{0690C8B3-0627-6942-994E-2C9FEE159153}"/>
  </bookViews>
  <sheets>
    <sheet name="data_ano" sheetId="39" r:id="rId1"/>
    <sheet name="data_mes" sheetId="25" r:id="rId2"/>
    <sheet name="data_port_historico" sheetId="41" r:id="rId3"/>
    <sheet name="data_port_mes" sheetId="31" r:id="rId4"/>
    <sheet name="Referencias" sheetId="42" r:id="rId5"/>
  </sheets>
  <externalReferences>
    <externalReference r:id="rId6"/>
  </externalReferences>
  <definedNames>
    <definedName name="_xlnm._FilterDatabase" localSheetId="0" hidden="1">data_ano!$A$1:$M$9</definedName>
    <definedName name="CalcPGBL">#REF!-(VLOOKUP(#REF!-(MAX(0,12%*#REF!-#REF!)),[1]!TabIRAno[#Data],2)*(#REF!-(MAX(0,12%*#REF!-#REF!)))-VLOOKUP(#REF!-(MAX(0,12%*#REF!-#REF!)),[1]!TabIRAno[#Data],3))&gt;#REF!</definedName>
    <definedName name="Categorias">#REF!</definedName>
    <definedName name="FaltaPGBL">MAX(0,#REF!-#REF!)</definedName>
    <definedName name="historico_calculos_Default_2024_05_04" localSheetId="0">data_ano!$A$1:$O$10</definedName>
    <definedName name="historico_calculos_Default_2024_05_04" localSheetId="1">data_mes!$A$1:$W$77</definedName>
    <definedName name="LimDep">[1]Aux!$D$16</definedName>
    <definedName name="LimEdu">[1]Aux!$D$19</definedName>
    <definedName name="LimSimpl">[1]Aux!$D$13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31" l="1"/>
  <c r="AG3" i="31"/>
  <c r="AH3" i="31"/>
  <c r="AF4" i="31"/>
  <c r="AG4" i="31"/>
  <c r="AH4" i="31"/>
  <c r="AF5" i="31"/>
  <c r="AG5" i="31"/>
  <c r="AH5" i="31"/>
  <c r="AF6" i="31"/>
  <c r="AG6" i="31"/>
  <c r="AH6" i="31"/>
  <c r="AF7" i="31"/>
  <c r="AG7" i="31"/>
  <c r="AH7" i="31"/>
  <c r="AF8" i="31"/>
  <c r="AG8" i="31"/>
  <c r="AH8" i="31"/>
  <c r="AF9" i="31"/>
  <c r="AG9" i="31"/>
  <c r="AH9" i="31"/>
  <c r="AF10" i="31"/>
  <c r="AG10" i="31"/>
  <c r="AH10" i="31"/>
  <c r="AF11" i="31"/>
  <c r="AG11" i="31"/>
  <c r="AH11" i="31"/>
  <c r="AF12" i="31"/>
  <c r="AG12" i="31"/>
  <c r="AH12" i="31"/>
  <c r="AF13" i="31"/>
  <c r="AG13" i="31"/>
  <c r="AH13" i="31"/>
  <c r="AF14" i="31"/>
  <c r="AG14" i="31"/>
  <c r="AH14" i="31"/>
  <c r="AF15" i="31"/>
  <c r="AG15" i="31"/>
  <c r="AH15" i="31"/>
  <c r="AF16" i="31"/>
  <c r="AG16" i="31"/>
  <c r="AH16" i="31"/>
  <c r="AF17" i="31"/>
  <c r="AG17" i="31"/>
  <c r="AH17" i="31"/>
  <c r="AF18" i="31"/>
  <c r="AG18" i="31"/>
  <c r="AH18" i="31"/>
  <c r="AF19" i="31"/>
  <c r="AG19" i="31"/>
  <c r="AH19" i="31"/>
  <c r="AF20" i="31"/>
  <c r="AG20" i="31"/>
  <c r="AH20" i="31"/>
  <c r="AF21" i="31"/>
  <c r="AG21" i="31"/>
  <c r="AH21" i="31"/>
  <c r="AH2" i="31"/>
  <c r="AG2" i="31"/>
  <c r="AF2" i="31"/>
  <c r="M14" i="41"/>
  <c r="L14" i="41"/>
  <c r="K14" i="41"/>
  <c r="J14" i="41"/>
  <c r="M5" i="41"/>
  <c r="L5" i="41"/>
  <c r="K5" i="41"/>
  <c r="J5" i="41"/>
  <c r="M2" i="41"/>
  <c r="L2" i="41"/>
  <c r="K2" i="41"/>
  <c r="J2" i="4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1D4AE5-151C-B943-B0D7-8BDB02F4CA94}" name="historico-calculos-Default-2024-05-04" type="6" refreshedVersion="8" background="1" saveData="1">
    <textPr codePage="65001" sourceFile="/Users/marcelo/Downloads/historico-calculos-Default-2024-05-04.csv" decimal="," thousands="." delimiter=";">
      <textFields count="23">
        <textField type="YMD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99ABE8D3-B5CB-4854-A521-5A824ED17E6F}" name="historico-calculos-Default-2024-05-041" type="6" refreshedVersion="8" background="1" saveData="1">
    <textPr codePage="65001" sourceFile="/Users/marcelo/Downloads/historico-calculos-Default-2024-05-04.csv" decimal="," thousands="." delimiter=";">
      <textFields count="23">
        <textField type="YMD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<sst xmlns="http://schemas.openxmlformats.org/spreadsheetml/2006/main" count="434" uniqueCount="215">
  <si>
    <t>FGTS</t>
  </si>
  <si>
    <t>R.Fixa</t>
  </si>
  <si>
    <t>R.Variável</t>
  </si>
  <si>
    <t>Cripto</t>
  </si>
  <si>
    <t>Exterior</t>
  </si>
  <si>
    <t>Previdencia</t>
  </si>
  <si>
    <t>HASH11</t>
  </si>
  <si>
    <t>JURO11</t>
  </si>
  <si>
    <t>IRDM11</t>
  </si>
  <si>
    <t>ACWV</t>
  </si>
  <si>
    <t>IWQU</t>
  </si>
  <si>
    <t>USD</t>
  </si>
  <si>
    <t>EIMI</t>
  </si>
  <si>
    <t>IFSW</t>
  </si>
  <si>
    <t>IWDA</t>
  </si>
  <si>
    <t>Categoria</t>
  </si>
  <si>
    <t>BRL</t>
  </si>
  <si>
    <t>Ativos Financeiros</t>
  </si>
  <si>
    <t>RF_Inflação</t>
  </si>
  <si>
    <t>RF_CDI</t>
  </si>
  <si>
    <t>RF_Infra</t>
  </si>
  <si>
    <t>RV_Ações</t>
  </si>
  <si>
    <t>RV_FII</t>
  </si>
  <si>
    <t>RV_Clube</t>
  </si>
  <si>
    <t>Cripto_Token</t>
  </si>
  <si>
    <t/>
  </si>
  <si>
    <t>Cripto_ETF</t>
  </si>
  <si>
    <t>Prev_Inflação</t>
  </si>
  <si>
    <t>Prev_FIA</t>
  </si>
  <si>
    <t>Bogleprev</t>
  </si>
  <si>
    <t>RV WD_All</t>
  </si>
  <si>
    <t>RF US_Bond</t>
  </si>
  <si>
    <t>RV WD_Dev</t>
  </si>
  <si>
    <t>RV WD_Factor</t>
  </si>
  <si>
    <t>RV WD_Quality</t>
  </si>
  <si>
    <t>RV WD_LowVol</t>
  </si>
  <si>
    <t>RV WD_Emerging</t>
  </si>
  <si>
    <t>Sobrado Neoville</t>
  </si>
  <si>
    <t>AUX-1J96 - Focus</t>
  </si>
  <si>
    <t>BEX-9H99 - HR-V</t>
  </si>
  <si>
    <t>Ativos Imobilizados</t>
  </si>
  <si>
    <t>date</t>
  </si>
  <si>
    <t>vlr_investido</t>
  </si>
  <si>
    <t>vlr_mercado</t>
  </si>
  <si>
    <t>lucro</t>
  </si>
  <si>
    <t>proventos</t>
  </si>
  <si>
    <t>volume</t>
  </si>
  <si>
    <t>fluxo_mes</t>
  </si>
  <si>
    <t>fluxo_acc</t>
  </si>
  <si>
    <t>lucro_mes</t>
  </si>
  <si>
    <t>twr_mes</t>
  </si>
  <si>
    <t>ibov_mes</t>
  </si>
  <si>
    <t>ifix_mes</t>
  </si>
  <si>
    <t>selic_mes</t>
  </si>
  <si>
    <t>ipca_mes</t>
  </si>
  <si>
    <t>ivvb_mes</t>
  </si>
  <si>
    <t>twr_acc</t>
  </si>
  <si>
    <t>ibov_acc</t>
  </si>
  <si>
    <t>ifix_acc</t>
  </si>
  <si>
    <t>selic_acc</t>
  </si>
  <si>
    <t>ipca_acc</t>
  </si>
  <si>
    <t>ivvb_acc</t>
  </si>
  <si>
    <t>yield_pm</t>
  </si>
  <si>
    <t>yield_vm</t>
  </si>
  <si>
    <t>fluxo_ano</t>
  </si>
  <si>
    <t>ST</t>
  </si>
  <si>
    <t>DT</t>
  </si>
  <si>
    <t>twr_ano</t>
  </si>
  <si>
    <t> 2018-dez.</t>
  </si>
  <si>
    <t> 2019-dez.</t>
  </si>
  <si>
    <t> 2020-dez.</t>
  </si>
  <si>
    <t> 2021-dez.</t>
  </si>
  <si>
    <t> 2022-dez.</t>
  </si>
  <si>
    <t> 2023-dez.</t>
  </si>
  <si>
    <t> 2024-dez.</t>
  </si>
  <si>
    <t>ativo</t>
  </si>
  <si>
    <t>qtd</t>
  </si>
  <si>
    <t>pm</t>
  </si>
  <si>
    <t>pm_fx</t>
  </si>
  <si>
    <t>pm_usd</t>
  </si>
  <si>
    <t>corretora</t>
  </si>
  <si>
    <t>classe</t>
  </si>
  <si>
    <t>market_cod</t>
  </si>
  <si>
    <t>moeda</t>
  </si>
  <si>
    <t>setor</t>
  </si>
  <si>
    <t>subsetor</t>
  </si>
  <si>
    <t>fator_pts</t>
  </si>
  <si>
    <t>price</t>
  </si>
  <si>
    <t>change</t>
  </si>
  <si>
    <t>changepct</t>
  </si>
  <si>
    <t>price_fx</t>
  </si>
  <si>
    <t>change_fx</t>
  </si>
  <si>
    <t>changepct_fx</t>
  </si>
  <si>
    <t>earnings</t>
  </si>
  <si>
    <t>trades</t>
  </si>
  <si>
    <t>xirr</t>
  </si>
  <si>
    <t>xirr_grouped</t>
  </si>
  <si>
    <t>date_ini</t>
  </si>
  <si>
    <t>nome_pregao</t>
  </si>
  <si>
    <t>lucro_total</t>
  </si>
  <si>
    <t>lucro_total_pct</t>
  </si>
  <si>
    <t>lucro_dia</t>
  </si>
  <si>
    <t>lucro_dia_pct</t>
  </si>
  <si>
    <t>carteira</t>
  </si>
  <si>
    <t>MLUCA-ELO</t>
  </si>
  <si>
    <t>ELO</t>
  </si>
  <si>
    <t>OUTROS:MLUCA-ELO</t>
  </si>
  <si>
    <t>CLUBE</t>
  </si>
  <si>
    <t>IBOV</t>
  </si>
  <si>
    <t>["RV Brasil"]</t>
  </si>
  <si>
    <t>MLUCA-MAR</t>
  </si>
  <si>
    <t>MAR</t>
  </si>
  <si>
    <t>OUTROS:MLUCA-MAR</t>
  </si>
  <si>
    <t>ETF</t>
  </si>
  <si>
    <t>BVMF:HASH11</t>
  </si>
  <si>
    <t>OUTROS</t>
  </si>
  <si>
    <t>FUNDOS</t>
  </si>
  <si>
    <t>HASHDEX NCI CI</t>
  </si>
  <si>
    <t>["Cripto"]</t>
  </si>
  <si>
    <t>ETF_GB</t>
  </si>
  <si>
    <t>LON:EIMI</t>
  </si>
  <si>
    <t>ETF GB</t>
  </si>
  <si>
    <t>ISHARES CORE MSCI EM IMI UCITS ETF</t>
  </si>
  <si>
    <t>EIMI.L</t>
  </si>
  <si>
    <t>["RV Exterior"]</t>
  </si>
  <si>
    <t>LON:IFSW</t>
  </si>
  <si>
    <t>ISHARES IV PLC ISHS EDGE MSCI WRLD MULTIFAC ETF</t>
  </si>
  <si>
    <t>IFSW.L</t>
  </si>
  <si>
    <t>LON:IWDA</t>
  </si>
  <si>
    <t>ISHARES CORE MSCI WORLD UCITS ETF USD</t>
  </si>
  <si>
    <t>IWDA.L</t>
  </si>
  <si>
    <t>LON:IWQU</t>
  </si>
  <si>
    <t>ISHARES EDGE MSCI WORLD QUALITY FACTOR UCITS ETF</t>
  </si>
  <si>
    <t>IWQU.L</t>
  </si>
  <si>
    <t>ETF_US</t>
  </si>
  <si>
    <t>BATS:ACWV</t>
  </si>
  <si>
    <t>ETF US</t>
  </si>
  <si>
    <t>LARGE CAP BLEND EQUITIES</t>
  </si>
  <si>
    <t>ISHARES MSCI ALL COUNTRY WORLD MINIMUM VOLATILITY ETF</t>
  </si>
  <si>
    <t>FII</t>
  </si>
  <si>
    <t>BVMF:IRDM11</t>
  </si>
  <si>
    <t>FUNDO DE PAPEL</t>
  </si>
  <si>
    <t>CRIS</t>
  </si>
  <si>
    <t>FII IRIDIUM CI</t>
  </si>
  <si>
    <t>FI_INFRA</t>
  </si>
  <si>
    <t>BVMF:JURO11</t>
  </si>
  <si>
    <t>FINANCEIRO</t>
  </si>
  <si>
    <t>SPARTA INFRA FIDC</t>
  </si>
  <si>
    <t>["R,Fixa"]</t>
  </si>
  <si>
    <t>CVM:38173778000175</t>
  </si>
  <si>
    <t>FUNDO</t>
  </si>
  <si>
    <t>AÇÕES</t>
  </si>
  <si>
    <t>INDEFINIDO</t>
  </si>
  <si>
    <t>BOGARI VALUE Q ACCESS PREV FIC D</t>
  </si>
  <si>
    <t>CVM:42357379000131</t>
  </si>
  <si>
    <t>RENDA FIXA</t>
  </si>
  <si>
    <t>ÍNDICE DE MERCADO ANDIMA NTN-B MAIS DE 5 ANOS</t>
  </si>
  <si>
    <t>BTG PACTUAL NTN-B 2035 YIELD PRE</t>
  </si>
  <si>
    <t>CVM:44027256000168</t>
  </si>
  <si>
    <t>MULTIMERCADO</t>
  </si>
  <si>
    <t>NÃO SE APLICA</t>
  </si>
  <si>
    <t>EMPIRICUS GLOBAL REAL RETURN PRE</t>
  </si>
  <si>
    <t>CVM:48373538000178</t>
  </si>
  <si>
    <t>FMP-FGTS</t>
  </si>
  <si>
    <t>BTG PACTUAL REFERENCE ABSOLUTO F</t>
  </si>
  <si>
    <t>CVM:50876690000115</t>
  </si>
  <si>
    <t>BTG PACTUAL NTN-B 2055 YIELD PRE</t>
  </si>
  <si>
    <t>CVM:54248765000174</t>
  </si>
  <si>
    <t>BTG PACTUAL NTN-B 2045 YIELD PRE</t>
  </si>
  <si>
    <t>R.FIXA</t>
  </si>
  <si>
    <t>OUTROS:FGTS</t>
  </si>
  <si>
    <t>PREVIDENCIA</t>
  </si>
  <si>
    <t>CDI</t>
  </si>
  <si>
    <t>TD:IPCA2035</t>
  </si>
  <si>
    <t>TIT.PUBLICO</t>
  </si>
  <si>
    <t>IPCA</t>
  </si>
  <si>
    <t>TESOURO IPCA</t>
  </si>
  <si>
    <t>TD:IPCA2045</t>
  </si>
  <si>
    <t>TESOURO SELIC</t>
  </si>
  <si>
    <t>OUTROS:TESOURO SELIC</t>
  </si>
  <si>
    <t>SELIC</t>
  </si>
  <si>
    <t>Ativo</t>
  </si>
  <si>
    <t>Nome</t>
  </si>
  <si>
    <t>Tipo</t>
  </si>
  <si>
    <t xml:space="preserve">BOGARI VALUE Q </t>
  </si>
  <si>
    <t>Prev_FIM</t>
  </si>
  <si>
    <t>BOGLEPREV</t>
  </si>
  <si>
    <t>BTG FMP CARTEIRA LIVRE</t>
  </si>
  <si>
    <t>BTG NTN-B 2035 PREV</t>
  </si>
  <si>
    <t>BTG NTN-B 2055 PREV</t>
  </si>
  <si>
    <t>BTG NTN-B 2045 PREV</t>
  </si>
  <si>
    <t>ibov_ano</t>
  </si>
  <si>
    <t>selic_ano</t>
  </si>
  <si>
    <t> 2025-out.</t>
  </si>
  <si>
    <t>PAI</t>
  </si>
  <si>
    <t>R.VARIAVEL</t>
  </si>
  <si>
    <t>Landscape D28</t>
  </si>
  <si>
    <t>Cipriano I05</t>
  </si>
  <si>
    <t>Liquidez</t>
  </si>
  <si>
    <t>D+7</t>
  </si>
  <si>
    <t>D+2</t>
  </si>
  <si>
    <t>Sem</t>
  </si>
  <si>
    <t>D+0</t>
  </si>
  <si>
    <t>D+1</t>
  </si>
  <si>
    <t>data_ano</t>
  </si>
  <si>
    <t>extrato do dashboard dlombello app com filtro por ano</t>
  </si>
  <si>
    <t>data_mes</t>
  </si>
  <si>
    <t>extrato do dashboard dlombello app com filtro por mês</t>
  </si>
  <si>
    <t>data_port_historico</t>
  </si>
  <si>
    <t>calculo original deve ser feito no excel, pois as prevs são redistribuidas conforme a alocação dos fundos (exterior, rf, rv, etc)</t>
  </si>
  <si>
    <t>data_por_mes</t>
  </si>
  <si>
    <t>copia e cola do dlombello app. Não distribui as prevs, por isso os valores serao diferentes do "historico"</t>
  </si>
  <si>
    <t>Alocação</t>
  </si>
  <si>
    <t>Imoveis</t>
  </si>
  <si>
    <t>Veiculos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</si>
</sst>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#,##0.00_ ;[Red]\-#,##0.00\ "/>
  </numFmts>
  <fonts count="2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sz val="10"/>
      <color rgb="FF9C5700"/>
      <name val="Calibri"/>
      <family val="2"/>
      <scheme val="minor"/>
    </font>
    <font>
      <sz val="9"/>
      <color theme="1"/>
      <name val="Helvetica"/>
      <family val="2"/>
    </font>
    <font>
      <u/>
      <sz val="9"/>
      <color theme="10"/>
      <name val="Helvetica"/>
      <family val="2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2" tint="-0.499984740745262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9" tint="-0.499984740745262"/>
      <name val="Calibri"/>
      <family val="2"/>
      <scheme val="minor"/>
    </font>
    <font>
      <sz val="10"/>
      <color theme="4"/>
      <name val="Calibri"/>
      <family val="2"/>
      <scheme val="minor"/>
    </font>
    <font>
      <sz val="10"/>
      <color theme="8" tint="-0.499984740745262"/>
      <name val="Calibri"/>
      <family val="2"/>
      <scheme val="minor"/>
    </font>
    <font>
      <sz val="10"/>
      <color theme="5" tint="-0.499984740745262"/>
      <name val="Calibri"/>
      <family val="2"/>
      <scheme val="minor"/>
    </font>
    <font>
      <sz val="10"/>
      <color theme="7" tint="-0.499984740745262"/>
      <name val="Calibri"/>
      <family val="2"/>
      <scheme val="minor"/>
    </font>
    <font>
      <sz val="10"/>
      <color theme="2" tint="-9.9978637043366805E-2"/>
      <name val="Calibri"/>
      <family val="2"/>
      <scheme val="minor"/>
    </font>
    <font>
      <sz val="10"/>
      <name val="Calibri"/>
      <family val="2"/>
      <scheme val="minor"/>
    </font>
    <font>
      <sz val="10"/>
      <color theme="3" tint="-0.49998474074526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6" borderId="0" applyNumberFormat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164" fontId="0" fillId="0" borderId="0" xfId="2" applyNumberFormat="1" applyFont="1"/>
    <xf numFmtId="0" fontId="8" fillId="0" borderId="0" xfId="0" applyFont="1"/>
    <xf numFmtId="14" fontId="0" fillId="0" borderId="0" xfId="0" applyNumberFormat="1"/>
    <xf numFmtId="165" fontId="0" fillId="0" borderId="0" xfId="1" applyNumberFormat="1" applyFont="1"/>
    <xf numFmtId="165" fontId="8" fillId="0" borderId="0" xfId="1" applyNumberFormat="1" applyFont="1"/>
    <xf numFmtId="164" fontId="8" fillId="0" borderId="0" xfId="2" applyNumberFormat="1" applyFont="1"/>
    <xf numFmtId="0" fontId="9" fillId="0" borderId="0" xfId="0" applyFont="1"/>
    <xf numFmtId="0" fontId="11" fillId="0" borderId="0" xfId="0" applyFont="1"/>
    <xf numFmtId="0" fontId="12" fillId="0" borderId="0" xfId="0" applyFont="1"/>
    <xf numFmtId="0" fontId="9" fillId="0" borderId="0" xfId="10" applyFont="1"/>
    <xf numFmtId="0" fontId="13" fillId="0" borderId="0" xfId="0" applyFont="1"/>
    <xf numFmtId="0" fontId="14" fillId="0" borderId="0" xfId="0" applyFont="1"/>
    <xf numFmtId="0" fontId="14" fillId="0" borderId="0" xfId="10" applyFont="1"/>
    <xf numFmtId="10" fontId="0" fillId="0" borderId="0" xfId="2" applyNumberFormat="1" applyFont="1"/>
    <xf numFmtId="0" fontId="0" fillId="9" borderId="0" xfId="0" applyFill="1"/>
    <xf numFmtId="0" fontId="8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12" fillId="0" borderId="0" xfId="0" applyFont="1" applyAlignment="1">
      <alignment vertical="center"/>
    </xf>
    <xf numFmtId="0" fontId="12" fillId="0" borderId="1" xfId="0" applyFont="1" applyBorder="1"/>
    <xf numFmtId="0" fontId="15" fillId="2" borderId="1" xfId="0" applyFont="1" applyFill="1" applyBorder="1" applyAlignment="1">
      <alignment horizontal="center" vertical="center"/>
    </xf>
    <xf numFmtId="17" fontId="22" fillId="4" borderId="1" xfId="0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vertical="center"/>
    </xf>
    <xf numFmtId="0" fontId="22" fillId="8" borderId="1" xfId="0" applyFont="1" applyFill="1" applyBorder="1" applyAlignment="1">
      <alignment vertical="center"/>
    </xf>
    <xf numFmtId="0" fontId="16" fillId="0" borderId="1" xfId="0" applyFont="1" applyBorder="1" applyAlignment="1">
      <alignment vertical="center"/>
    </xf>
    <xf numFmtId="4" fontId="12" fillId="0" borderId="1" xfId="0" applyNumberFormat="1" applyFont="1" applyBorder="1" applyAlignment="1">
      <alignment vertical="center"/>
    </xf>
    <xf numFmtId="4" fontId="17" fillId="0" borderId="1" xfId="0" applyNumberFormat="1" applyFont="1" applyBorder="1" applyAlignment="1">
      <alignment vertical="center"/>
    </xf>
    <xf numFmtId="4" fontId="22" fillId="0" borderId="1" xfId="0" applyNumberFormat="1" applyFont="1" applyBorder="1" applyAlignment="1">
      <alignment vertical="center"/>
    </xf>
    <xf numFmtId="0" fontId="12" fillId="10" borderId="1" xfId="0" applyFont="1" applyFill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12" fillId="9" borderId="1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20" fillId="0" borderId="1" xfId="0" applyFont="1" applyBorder="1" applyAlignment="1">
      <alignment vertical="center"/>
    </xf>
    <xf numFmtId="4" fontId="21" fillId="0" borderId="1" xfId="0" applyNumberFormat="1" applyFont="1" applyBorder="1" applyAlignment="1">
      <alignment vertical="center"/>
    </xf>
    <xf numFmtId="0" fontId="12" fillId="5" borderId="1" xfId="0" applyFont="1" applyFill="1" applyBorder="1" applyAlignment="1">
      <alignment vertical="center"/>
    </xf>
    <xf numFmtId="0" fontId="23" fillId="0" borderId="1" xfId="0" applyFont="1" applyBorder="1" applyAlignment="1">
      <alignment vertical="center"/>
    </xf>
  </cellXfs>
  <cellStyles count="13">
    <cellStyle name="Comma" xfId="1" builtinId="3"/>
    <cellStyle name="Comma 2" xfId="5" xr:uid="{A9145E94-E143-3849-A2E7-85C9903F6D6F}"/>
    <cellStyle name="Comma 3" xfId="11" xr:uid="{A14E716B-8FD5-4E4C-BEF2-1D663456BB26}"/>
    <cellStyle name="Hyperlink 2" xfId="9" xr:uid="{A33A8E09-93D7-1B42-8B5F-E22864688284}"/>
    <cellStyle name="Neutral 2" xfId="7" xr:uid="{71F9C52E-B70A-8248-BD17-5C235DB7A0ED}"/>
    <cellStyle name="Normal" xfId="0" builtinId="0"/>
    <cellStyle name="Normal 2" xfId="3" xr:uid="{3A79D1CC-8D54-2B4D-A5C0-BDE8A032F4BE}"/>
    <cellStyle name="Normal 3" xfId="4" xr:uid="{2118621B-3577-3B47-8644-67971A32631A}"/>
    <cellStyle name="Normal 4" xfId="8" xr:uid="{5D29E394-A295-4F4B-ACE3-85B155AEBF32}"/>
    <cellStyle name="Normal 5" xfId="10" xr:uid="{C9FB051E-5E3E-4D95-BCFE-63A1A980F3F9}"/>
    <cellStyle name="Percent" xfId="2" builtinId="5"/>
    <cellStyle name="Percent 2" xfId="6" xr:uid="{BD7C9E08-7E76-6847-9FF9-1F4C036E11D0}"/>
    <cellStyle name="Percent 3" xfId="12" xr:uid="{9E7828EC-EE31-4D55-A9C6-ECBBFFA5F5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845ca001af2900fe/Investimentos/Simulacao-Previdencia-2023-24-&#8211;-Empiricus.xlsx" TargetMode="External"/><Relationship Id="rId1" Type="http://schemas.openxmlformats.org/officeDocument/2006/relationships/externalLinkPath" Target="https://d.docs.live.net/845CA001AF2900FE/Investimentos/Simulacao-Previdencia-2023-24-&#8211;-Empiric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mulação PGBL"/>
      <sheetName val="Aux"/>
      <sheetName val="Simulacao-Previdencia-2023-24-–"/>
    </sheetNames>
    <sheetDataSet>
      <sheetData sheetId="0"/>
      <sheetData sheetId="1"/>
      <sheetData sheetId="2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istorico-calculos-Default-2024-05-04" connectionId="2" xr16:uid="{79AA221C-D9E2-42C1-B249-C397E837F75F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istorico-calculos-Default-2024-05-04" connectionId="1" xr16:uid="{F7DBACF9-EF29-514D-A72C-FC79D5973166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1D4BD-6592-4418-89F2-3A9623086142}">
  <dimension ref="A1:Q10"/>
  <sheetViews>
    <sheetView zoomScale="110" zoomScaleNormal="110" workbookViewId="0">
      <pane ySplit="1" topLeftCell="A2" activePane="bottomLeft" state="frozen"/>
      <selection pane="bottomLeft" activeCell="D24" sqref="D24"/>
    </sheetView>
  </sheetViews>
  <sheetFormatPr defaultColWidth="11.125" defaultRowHeight="15.75" x14ac:dyDescent="0.25"/>
  <cols>
    <col min="1" max="1" width="12.625" customWidth="1"/>
    <col min="2" max="4" width="13" style="4" bestFit="1" customWidth="1"/>
    <col min="5" max="6" width="12.125" style="4" bestFit="1" customWidth="1"/>
    <col min="7" max="9" width="13" style="4" bestFit="1" customWidth="1"/>
    <col min="10" max="12" width="12.625" style="1" bestFit="1" customWidth="1"/>
    <col min="13" max="13" width="9.125" style="1" bestFit="1" customWidth="1"/>
    <col min="14" max="15" width="12.125" style="1" bestFit="1" customWidth="1"/>
  </cols>
  <sheetData>
    <row r="1" spans="1:17" s="2" customFormat="1" x14ac:dyDescent="0.25">
      <c r="A1" s="2" t="s">
        <v>41</v>
      </c>
      <c r="B1" s="5" t="s">
        <v>64</v>
      </c>
      <c r="C1" s="5" t="s">
        <v>48</v>
      </c>
      <c r="D1" s="5" t="s">
        <v>42</v>
      </c>
      <c r="E1" s="5" t="s">
        <v>43</v>
      </c>
      <c r="F1" s="5" t="s">
        <v>45</v>
      </c>
      <c r="G1" s="6" t="s">
        <v>62</v>
      </c>
      <c r="H1" s="6" t="s">
        <v>63</v>
      </c>
      <c r="I1" s="6" t="s">
        <v>65</v>
      </c>
      <c r="J1" s="6" t="s">
        <v>66</v>
      </c>
      <c r="K1" s="5" t="s">
        <v>44</v>
      </c>
      <c r="L1" s="6" t="s">
        <v>67</v>
      </c>
      <c r="M1" s="6" t="s">
        <v>56</v>
      </c>
      <c r="N1" s="2" t="s">
        <v>191</v>
      </c>
      <c r="O1" s="2" t="s">
        <v>57</v>
      </c>
      <c r="P1" s="2" t="s">
        <v>192</v>
      </c>
      <c r="Q1" s="2" t="s">
        <v>59</v>
      </c>
    </row>
    <row r="2" spans="1:17" x14ac:dyDescent="0.25">
      <c r="A2" s="3" t="s">
        <v>68</v>
      </c>
      <c r="B2" s="4">
        <v>500975.29</v>
      </c>
      <c r="C2" s="4">
        <v>500975.29</v>
      </c>
      <c r="D2" s="4">
        <v>511279.1</v>
      </c>
      <c r="E2" s="4">
        <v>561875.06999999995</v>
      </c>
      <c r="F2" s="4">
        <v>9615.52</v>
      </c>
      <c r="G2" s="14">
        <v>2.5600000000000001E-2</v>
      </c>
      <c r="H2" s="14">
        <v>2.3800000000000002E-2</v>
      </c>
      <c r="I2" s="4">
        <v>688.29</v>
      </c>
      <c r="J2" s="4">
        <v>0</v>
      </c>
      <c r="K2" s="4">
        <v>60899.79</v>
      </c>
      <c r="L2" s="14">
        <v>0.32690000000000002</v>
      </c>
      <c r="M2" s="14">
        <v>0.32690000000000002</v>
      </c>
      <c r="N2" s="1">
        <v>0.15029999999999999</v>
      </c>
      <c r="O2" s="1">
        <v>0.15029999999999999</v>
      </c>
      <c r="P2" s="1">
        <v>6.4199999999999993E-2</v>
      </c>
      <c r="Q2" s="1">
        <v>6.4199999999999993E-2</v>
      </c>
    </row>
    <row r="3" spans="1:17" x14ac:dyDescent="0.25">
      <c r="A3" s="3" t="s">
        <v>69</v>
      </c>
      <c r="B3" s="4">
        <v>120711.73</v>
      </c>
      <c r="C3" s="4">
        <v>621687.02</v>
      </c>
      <c r="D3" s="4">
        <v>698115.94</v>
      </c>
      <c r="E3" s="4">
        <v>941043.95</v>
      </c>
      <c r="F3" s="4">
        <v>26449.88</v>
      </c>
      <c r="G3" s="14">
        <v>4.4400000000000002E-2</v>
      </c>
      <c r="H3" s="14">
        <v>3.7999999999999999E-2</v>
      </c>
      <c r="I3" s="4">
        <v>39675.230000000003</v>
      </c>
      <c r="J3" s="4">
        <v>0</v>
      </c>
      <c r="K3" s="4">
        <v>258457.15</v>
      </c>
      <c r="L3" s="14">
        <v>0.39579999999999999</v>
      </c>
      <c r="M3" s="14">
        <v>0.85209999999999997</v>
      </c>
      <c r="N3" s="1">
        <v>0.31950000000000001</v>
      </c>
      <c r="O3" s="1">
        <v>0.51780000000000004</v>
      </c>
      <c r="P3" s="1">
        <v>5.9499999999999997E-2</v>
      </c>
      <c r="Q3" s="1">
        <v>0.1275</v>
      </c>
    </row>
    <row r="4" spans="1:17" x14ac:dyDescent="0.25">
      <c r="A4" s="3" t="s">
        <v>70</v>
      </c>
      <c r="B4" s="4">
        <v>312492.75</v>
      </c>
      <c r="C4" s="4">
        <v>934179.77</v>
      </c>
      <c r="D4" s="4">
        <v>1096060.31</v>
      </c>
      <c r="E4" s="4">
        <v>1471777.87</v>
      </c>
      <c r="F4" s="4">
        <v>30704.84</v>
      </c>
      <c r="G4" s="14">
        <v>3.4200000000000001E-2</v>
      </c>
      <c r="H4" s="14">
        <v>2.9700000000000001E-2</v>
      </c>
      <c r="I4" s="4">
        <v>54744.49</v>
      </c>
      <c r="J4" s="4">
        <v>2.29</v>
      </c>
      <c r="K4" s="4">
        <v>218241.16</v>
      </c>
      <c r="L4" s="14">
        <v>0.13950000000000001</v>
      </c>
      <c r="M4" s="14">
        <v>1.1104000000000001</v>
      </c>
      <c r="N4" s="1">
        <v>2.8799999999999999E-2</v>
      </c>
      <c r="O4" s="1">
        <v>0.56159999999999999</v>
      </c>
      <c r="P4" s="1">
        <v>2.75E-2</v>
      </c>
      <c r="Q4" s="1">
        <v>0.1585</v>
      </c>
    </row>
    <row r="5" spans="1:17" x14ac:dyDescent="0.25">
      <c r="A5" s="3" t="s">
        <v>71</v>
      </c>
      <c r="B5" s="4">
        <v>192103.1</v>
      </c>
      <c r="C5" s="4">
        <v>1126282.8700000001</v>
      </c>
      <c r="D5" s="4">
        <v>1494141.57</v>
      </c>
      <c r="E5" s="4">
        <v>1743743.56</v>
      </c>
      <c r="F5" s="4">
        <v>108277.84</v>
      </c>
      <c r="G5" s="14">
        <v>8.2000000000000003E-2</v>
      </c>
      <c r="H5" s="14">
        <v>6.5100000000000005E-2</v>
      </c>
      <c r="I5" s="4">
        <v>97700.31</v>
      </c>
      <c r="J5" s="4">
        <v>0</v>
      </c>
      <c r="K5" s="4">
        <v>79862.59</v>
      </c>
      <c r="L5" s="14">
        <v>4.9799999999999997E-2</v>
      </c>
      <c r="M5" s="14">
        <v>1.2154</v>
      </c>
      <c r="N5" s="1">
        <v>-0.12139999999999999</v>
      </c>
      <c r="O5" s="1">
        <v>0.372</v>
      </c>
      <c r="P5" s="1">
        <v>4.4400000000000002E-2</v>
      </c>
      <c r="Q5" s="1">
        <v>0.2099</v>
      </c>
    </row>
    <row r="6" spans="1:17" x14ac:dyDescent="0.25">
      <c r="A6" s="3" t="s">
        <v>72</v>
      </c>
      <c r="B6" s="4">
        <v>-148955.64000000001</v>
      </c>
      <c r="C6" s="4">
        <v>977327.24</v>
      </c>
      <c r="D6" s="4">
        <v>1646001.36</v>
      </c>
      <c r="E6" s="4">
        <v>1733840.23</v>
      </c>
      <c r="F6" s="4">
        <v>150080.76999999999</v>
      </c>
      <c r="G6" s="14">
        <v>9.8900000000000002E-2</v>
      </c>
      <c r="H6" s="14">
        <v>8.7300000000000003E-2</v>
      </c>
      <c r="I6" s="4">
        <v>150734.66</v>
      </c>
      <c r="J6" s="4">
        <v>0</v>
      </c>
      <c r="K6" s="4">
        <v>139052.31</v>
      </c>
      <c r="L6" s="14">
        <v>7.6499999999999999E-2</v>
      </c>
      <c r="M6" s="14">
        <v>1.385</v>
      </c>
      <c r="N6" s="1">
        <v>4.9700000000000001E-2</v>
      </c>
      <c r="O6" s="1">
        <v>0.44019999999999998</v>
      </c>
      <c r="P6" s="1">
        <v>0.12379999999999999</v>
      </c>
      <c r="Q6" s="1">
        <v>0.35970000000000002</v>
      </c>
    </row>
    <row r="7" spans="1:17" x14ac:dyDescent="0.25">
      <c r="A7" s="3" t="s">
        <v>73</v>
      </c>
      <c r="B7" s="4">
        <v>392540.52</v>
      </c>
      <c r="C7" s="4">
        <v>1369867.76</v>
      </c>
      <c r="D7" s="4">
        <v>2311393.71</v>
      </c>
      <c r="E7" s="4">
        <v>2501052.21</v>
      </c>
      <c r="F7" s="4">
        <v>84200.74</v>
      </c>
      <c r="G7" s="14">
        <v>4.5199999999999997E-2</v>
      </c>
      <c r="H7" s="14">
        <v>4.3299999999999998E-2</v>
      </c>
      <c r="I7" s="4">
        <v>188643.25</v>
      </c>
      <c r="J7" s="4">
        <v>7.84</v>
      </c>
      <c r="K7" s="4">
        <v>374671.45</v>
      </c>
      <c r="L7" s="14">
        <v>0.18970000000000001</v>
      </c>
      <c r="M7" s="14">
        <v>1.8373999999999999</v>
      </c>
      <c r="N7" s="1">
        <v>0.2195</v>
      </c>
      <c r="O7" s="1">
        <v>0.75629999999999997</v>
      </c>
      <c r="P7" s="1">
        <v>0.1303</v>
      </c>
      <c r="Q7" s="1">
        <v>0.53690000000000004</v>
      </c>
    </row>
    <row r="8" spans="1:17" x14ac:dyDescent="0.25">
      <c r="A8" s="3" t="s">
        <v>74</v>
      </c>
      <c r="B8" s="4">
        <v>-164307.12</v>
      </c>
      <c r="C8" s="4">
        <v>1205560.6399999999</v>
      </c>
      <c r="D8" s="4">
        <v>2249043.23</v>
      </c>
      <c r="E8" s="4">
        <v>2073399.79</v>
      </c>
      <c r="F8" s="4">
        <v>20753.71</v>
      </c>
      <c r="G8" s="14">
        <v>9.4000000000000004E-3</v>
      </c>
      <c r="H8" s="14">
        <v>9.4000000000000004E-3</v>
      </c>
      <c r="I8" s="4">
        <v>81202.929999999993</v>
      </c>
      <c r="J8" s="4">
        <v>0</v>
      </c>
      <c r="K8" s="4">
        <v>-263345.3</v>
      </c>
      <c r="L8" s="14">
        <v>-0.1096</v>
      </c>
      <c r="M8" s="14">
        <v>1.5264</v>
      </c>
      <c r="N8" s="1">
        <v>-0.1036</v>
      </c>
      <c r="O8" s="1">
        <v>0.57430000000000003</v>
      </c>
      <c r="P8" s="1">
        <v>0.1089</v>
      </c>
      <c r="Q8" s="1">
        <v>0.70420000000000005</v>
      </c>
    </row>
    <row r="9" spans="1:17" x14ac:dyDescent="0.25">
      <c r="A9" s="3" t="s">
        <v>193</v>
      </c>
      <c r="B9" s="4">
        <v>18469.23</v>
      </c>
      <c r="C9" s="4">
        <v>1220469.8400000001</v>
      </c>
      <c r="D9" s="4">
        <v>2296479.62</v>
      </c>
      <c r="E9" s="4">
        <v>2550670.5299999998</v>
      </c>
      <c r="F9" s="4">
        <v>23891</v>
      </c>
      <c r="G9" s="14">
        <v>1.04E-2</v>
      </c>
      <c r="H9" s="14">
        <v>9.9000000000000008E-3</v>
      </c>
      <c r="I9" s="4">
        <v>5076.16</v>
      </c>
      <c r="J9" s="4">
        <v>0</v>
      </c>
      <c r="K9" s="4">
        <v>458801.52</v>
      </c>
      <c r="L9" s="14">
        <v>0.2155</v>
      </c>
      <c r="M9" s="14">
        <v>2.0758000000000001</v>
      </c>
      <c r="N9" s="1">
        <v>0.24940000000000001</v>
      </c>
      <c r="O9" s="1">
        <v>0.96699999999999997</v>
      </c>
      <c r="P9" s="1">
        <v>0.11849999999999999</v>
      </c>
      <c r="Q9" s="1">
        <v>0.90610000000000002</v>
      </c>
    </row>
    <row r="10" spans="1:17" x14ac:dyDescent="0.25">
      <c r="A10" s="3"/>
    </row>
  </sheetData>
  <autoFilter ref="A1:M9" xr:uid="{0B51D4BD-6592-4418-89F2-3A9623086142}">
    <sortState xmlns:xlrd2="http://schemas.microsoft.com/office/spreadsheetml/2017/richdata2" ref="A2:M9">
      <sortCondition ref="A1:A9"/>
    </sortState>
  </autoFilter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BD007-51CE-F343-91EE-3D27C337A895}">
  <dimension ref="A1:W95"/>
  <sheetViews>
    <sheetView zoomScale="110" zoomScaleNormal="110" workbookViewId="0">
      <pane ySplit="1" topLeftCell="A2" activePane="bottomLeft" state="frozen"/>
      <selection pane="bottomLeft" activeCell="D14" sqref="D14"/>
    </sheetView>
  </sheetViews>
  <sheetFormatPr defaultColWidth="11.125" defaultRowHeight="15.75" x14ac:dyDescent="0.25"/>
  <cols>
    <col min="1" max="1" width="12.625" customWidth="1"/>
    <col min="2" max="4" width="13" style="4" bestFit="1" customWidth="1"/>
    <col min="5" max="6" width="12.125" style="4" bestFit="1" customWidth="1"/>
    <col min="7" max="9" width="13" style="4" bestFit="1" customWidth="1"/>
    <col min="10" max="12" width="12.625" style="1" bestFit="1" customWidth="1"/>
    <col min="13" max="13" width="9.125" style="1" bestFit="1" customWidth="1"/>
    <col min="14" max="14" width="9" style="1" bestFit="1" customWidth="1"/>
    <col min="15" max="15" width="12.625" style="1" bestFit="1" customWidth="1"/>
    <col min="16" max="16" width="12.125" style="1" bestFit="1" customWidth="1"/>
    <col min="17" max="18" width="12.625" style="1" bestFit="1" customWidth="1"/>
    <col min="19" max="20" width="12.125" style="1" bestFit="1" customWidth="1"/>
    <col min="21" max="21" width="12.625" style="1" bestFit="1" customWidth="1"/>
    <col min="22" max="23" width="12.125" style="1" bestFit="1" customWidth="1"/>
  </cols>
  <sheetData>
    <row r="1" spans="1:23" s="2" customFormat="1" x14ac:dyDescent="0.25">
      <c r="A1" s="2" t="s">
        <v>41</v>
      </c>
      <c r="B1" s="5" t="s">
        <v>42</v>
      </c>
      <c r="C1" s="5" t="s">
        <v>43</v>
      </c>
      <c r="D1" s="5" t="s">
        <v>44</v>
      </c>
      <c r="E1" s="5" t="s">
        <v>45</v>
      </c>
      <c r="F1" s="5" t="s">
        <v>46</v>
      </c>
      <c r="G1" s="5" t="s">
        <v>47</v>
      </c>
      <c r="H1" s="5" t="s">
        <v>48</v>
      </c>
      <c r="I1" s="5" t="s">
        <v>49</v>
      </c>
      <c r="J1" s="6" t="s">
        <v>50</v>
      </c>
      <c r="K1" s="6" t="s">
        <v>51</v>
      </c>
      <c r="L1" s="6" t="s">
        <v>52</v>
      </c>
      <c r="M1" s="6" t="s">
        <v>53</v>
      </c>
      <c r="N1" s="6" t="s">
        <v>54</v>
      </c>
      <c r="O1" s="6" t="s">
        <v>55</v>
      </c>
      <c r="P1" s="6" t="s">
        <v>56</v>
      </c>
      <c r="Q1" s="6" t="s">
        <v>57</v>
      </c>
      <c r="R1" s="6" t="s">
        <v>58</v>
      </c>
      <c r="S1" s="6" t="s">
        <v>59</v>
      </c>
      <c r="T1" s="6" t="s">
        <v>60</v>
      </c>
      <c r="U1" s="6" t="s">
        <v>61</v>
      </c>
      <c r="V1" s="6" t="s">
        <v>62</v>
      </c>
      <c r="W1" s="6" t="s">
        <v>63</v>
      </c>
    </row>
    <row r="2" spans="1:23" x14ac:dyDescent="0.25">
      <c r="A2" s="3">
        <v>43131</v>
      </c>
      <c r="B2" s="4">
        <v>70504.519999999902</v>
      </c>
      <c r="C2" s="4">
        <v>82244.3</v>
      </c>
      <c r="D2" s="4">
        <v>0</v>
      </c>
      <c r="E2" s="4">
        <v>0</v>
      </c>
      <c r="F2" s="4">
        <v>0</v>
      </c>
      <c r="G2" s="4">
        <v>70504.519999999902</v>
      </c>
      <c r="H2" s="4">
        <v>70504.519999999902</v>
      </c>
      <c r="I2" s="4">
        <v>11739.78</v>
      </c>
      <c r="J2" s="1">
        <v>0.16651102652709299</v>
      </c>
      <c r="K2" s="1">
        <v>0.11139760739247601</v>
      </c>
      <c r="L2" s="1">
        <v>2.6396162518077901E-2</v>
      </c>
      <c r="M2" s="1">
        <v>5.7999999999999996E-3</v>
      </c>
      <c r="N2" s="1">
        <v>2.8999999999999998E-3</v>
      </c>
      <c r="O2" s="1">
        <v>8.0171031533939896E-3</v>
      </c>
      <c r="P2" s="1">
        <v>0.16651102652709299</v>
      </c>
      <c r="Q2" s="1">
        <v>0.11139760739247601</v>
      </c>
      <c r="R2" s="1">
        <v>2.6396162518077901E-2</v>
      </c>
      <c r="S2" s="1">
        <v>5.8000000000000204E-3</v>
      </c>
      <c r="T2" s="1">
        <v>2.8999999999999001E-3</v>
      </c>
      <c r="U2" s="1">
        <v>8.0171031533939896E-3</v>
      </c>
      <c r="V2" s="1">
        <v>0</v>
      </c>
      <c r="W2" s="1">
        <v>0</v>
      </c>
    </row>
    <row r="3" spans="1:23" x14ac:dyDescent="0.25">
      <c r="A3" s="3">
        <v>43159</v>
      </c>
      <c r="B3" s="4">
        <v>105838.47</v>
      </c>
      <c r="C3" s="4">
        <v>117452.38</v>
      </c>
      <c r="D3" s="4">
        <v>0</v>
      </c>
      <c r="E3" s="4">
        <v>0</v>
      </c>
      <c r="F3" s="4">
        <v>0</v>
      </c>
      <c r="G3" s="4">
        <v>35333.949999999997</v>
      </c>
      <c r="H3" s="4">
        <v>105838.47</v>
      </c>
      <c r="I3" s="4">
        <v>-125.870000000009</v>
      </c>
      <c r="J3" s="1">
        <v>-1.0705211210407699E-3</v>
      </c>
      <c r="K3" s="1">
        <v>6.6891995336402204E-3</v>
      </c>
      <c r="L3" s="1">
        <v>1.14561772775605E-2</v>
      </c>
      <c r="M3" s="1">
        <v>4.6999999999999898E-3</v>
      </c>
      <c r="N3" s="1">
        <v>3.2000000000000002E-3</v>
      </c>
      <c r="O3" s="1">
        <v>-1.80275715800636E-2</v>
      </c>
      <c r="P3" s="1">
        <v>0.16526225183526899</v>
      </c>
      <c r="Q3" s="1">
        <v>0.118831967749535</v>
      </c>
      <c r="R3" s="1">
        <v>3.8154738912892797E-2</v>
      </c>
      <c r="S3" s="1">
        <v>1.0527259999999899E-2</v>
      </c>
      <c r="T3" s="1">
        <v>6.1092799999999904E-3</v>
      </c>
      <c r="U3" s="1">
        <v>-1.01549973276322E-2</v>
      </c>
      <c r="V3" s="1">
        <v>0</v>
      </c>
      <c r="W3" s="1">
        <v>0</v>
      </c>
    </row>
    <row r="4" spans="1:23" x14ac:dyDescent="0.25">
      <c r="A4" s="3">
        <v>43190</v>
      </c>
      <c r="B4" s="4">
        <v>107227.33</v>
      </c>
      <c r="C4" s="4">
        <v>118973.67</v>
      </c>
      <c r="D4" s="4">
        <v>0</v>
      </c>
      <c r="E4" s="4">
        <v>0</v>
      </c>
      <c r="F4" s="4">
        <v>0</v>
      </c>
      <c r="G4" s="4">
        <v>1388.86</v>
      </c>
      <c r="H4" s="4">
        <v>107227.33</v>
      </c>
      <c r="I4" s="4">
        <v>132.42999999999299</v>
      </c>
      <c r="J4" s="1">
        <v>1.11434380859698E-3</v>
      </c>
      <c r="K4" s="1">
        <v>-1.34532820158861E-3</v>
      </c>
      <c r="L4" s="1">
        <v>1.99575151098247E-2</v>
      </c>
      <c r="M4" s="1">
        <v>5.3E-3</v>
      </c>
      <c r="N4" s="1">
        <v>8.9999999999999998E-4</v>
      </c>
      <c r="O4" s="1">
        <v>-1.01511879049676E-2</v>
      </c>
      <c r="P4" s="1">
        <v>0.16656075461099301</v>
      </c>
      <c r="Q4" s="1">
        <v>0.117326771550482</v>
      </c>
      <c r="R4" s="1">
        <v>5.8873727801083103E-2</v>
      </c>
      <c r="S4" s="1">
        <v>1.5883054477999901E-2</v>
      </c>
      <c r="T4" s="1">
        <v>7.0147783519998097E-3</v>
      </c>
      <c r="U4" s="1">
        <v>-2.0203099946552599E-2</v>
      </c>
      <c r="V4" s="1">
        <v>0</v>
      </c>
      <c r="W4" s="1">
        <v>0</v>
      </c>
    </row>
    <row r="5" spans="1:23" x14ac:dyDescent="0.25">
      <c r="A5" s="3">
        <v>43220</v>
      </c>
      <c r="B5" s="4">
        <v>127459.56</v>
      </c>
      <c r="C5" s="4">
        <v>144740.31</v>
      </c>
      <c r="D5" s="4">
        <v>0</v>
      </c>
      <c r="E5" s="4">
        <v>45.25</v>
      </c>
      <c r="F5" s="4">
        <v>0</v>
      </c>
      <c r="G5" s="4">
        <v>20186.979999999901</v>
      </c>
      <c r="H5" s="4">
        <v>127414.31</v>
      </c>
      <c r="I5" s="4">
        <v>5579.6600000000299</v>
      </c>
      <c r="J5" s="1">
        <v>4.0095098722232297E-2</v>
      </c>
      <c r="K5" s="1">
        <v>8.7739849588828103E-3</v>
      </c>
      <c r="L5" s="1">
        <v>-8.6064287350373601E-3</v>
      </c>
      <c r="M5" s="1">
        <v>5.1999999999999998E-3</v>
      </c>
      <c r="N5" s="1">
        <v>2.2000000000000001E-3</v>
      </c>
      <c r="O5" s="1">
        <v>6.48047130700415E-2</v>
      </c>
      <c r="P5" s="1">
        <v>0.21333412323260301</v>
      </c>
      <c r="Q5" s="1">
        <v>0.127130179838223</v>
      </c>
      <c r="R5" s="1">
        <v>4.9760606523359702E-2</v>
      </c>
      <c r="S5" s="1">
        <v>2.1165646361285699E-2</v>
      </c>
      <c r="T5" s="1">
        <v>9.2302108643742501E-3</v>
      </c>
      <c r="U5" s="1">
        <v>4.3292357028327198E-2</v>
      </c>
      <c r="V5" s="1">
        <v>3.5501456305042899E-4</v>
      </c>
      <c r="W5" s="1">
        <v>3.1262887304856499E-4</v>
      </c>
    </row>
    <row r="6" spans="1:23" x14ac:dyDescent="0.25">
      <c r="A6" s="3">
        <v>43251</v>
      </c>
      <c r="B6" s="4">
        <v>167965.389999999</v>
      </c>
      <c r="C6" s="4">
        <v>183258.87</v>
      </c>
      <c r="D6" s="4">
        <v>0</v>
      </c>
      <c r="E6" s="4">
        <v>100.2</v>
      </c>
      <c r="F6" s="4">
        <v>0</v>
      </c>
      <c r="G6" s="4">
        <v>40405.629999999903</v>
      </c>
      <c r="H6" s="4">
        <v>167819.94</v>
      </c>
      <c r="I6" s="4">
        <v>-1887.0699999999899</v>
      </c>
      <c r="J6" s="1">
        <v>-1.01923380010383E-2</v>
      </c>
      <c r="K6" s="1">
        <v>-0.108703477907449</v>
      </c>
      <c r="L6" s="1">
        <v>-5.2685848753877301E-2</v>
      </c>
      <c r="M6" s="1">
        <v>5.1999999999999998E-3</v>
      </c>
      <c r="N6" s="1">
        <v>4.0000000000000001E-3</v>
      </c>
      <c r="O6" s="1">
        <v>0.100102459016393</v>
      </c>
      <c r="P6" s="1">
        <v>0.20096741174042301</v>
      </c>
      <c r="Q6" s="1">
        <v>4.6072092353599504E-3</v>
      </c>
      <c r="R6" s="1">
        <v>-5.5469220197085197E-3</v>
      </c>
      <c r="S6" s="1">
        <v>2.6475707722364499E-2</v>
      </c>
      <c r="T6" s="1">
        <v>1.32671317078316E-2</v>
      </c>
      <c r="U6" s="1">
        <v>0.14772848743987099</v>
      </c>
      <c r="V6" s="1">
        <v>5.9655146813281004E-4</v>
      </c>
      <c r="W6" s="1">
        <v>5.4676753163434796E-4</v>
      </c>
    </row>
    <row r="7" spans="1:23" x14ac:dyDescent="0.25">
      <c r="A7" s="3">
        <v>43281</v>
      </c>
      <c r="B7" s="4">
        <v>229844.46</v>
      </c>
      <c r="C7" s="4">
        <v>244360.67</v>
      </c>
      <c r="D7" s="4">
        <v>-280.48999999999899</v>
      </c>
      <c r="E7" s="4">
        <v>348.8</v>
      </c>
      <c r="F7" s="4">
        <v>3687.6</v>
      </c>
      <c r="G7" s="4">
        <v>61810.76</v>
      </c>
      <c r="H7" s="4">
        <v>229630.7</v>
      </c>
      <c r="I7" s="4">
        <v>-708.96000000004199</v>
      </c>
      <c r="J7" s="1">
        <v>-2.8928921139679199E-3</v>
      </c>
      <c r="K7" s="1">
        <v>-5.1997290043515602E-2</v>
      </c>
      <c r="L7" s="1">
        <v>-4.0147056830961501E-2</v>
      </c>
      <c r="M7" s="1">
        <v>5.1999999999999998E-3</v>
      </c>
      <c r="N7" s="1">
        <v>1.26E-2</v>
      </c>
      <c r="O7" s="1">
        <v>3.3808326348141897E-2</v>
      </c>
      <c r="P7" s="1">
        <v>0.197493142585867</v>
      </c>
      <c r="Q7" s="1">
        <v>-4.7629643203057799E-2</v>
      </c>
      <c r="R7" s="1">
        <v>-4.5471286257107897E-2</v>
      </c>
      <c r="S7" s="1">
        <v>3.18133814025209E-2</v>
      </c>
      <c r="T7" s="1">
        <v>2.6034297567350199E-2</v>
      </c>
      <c r="U7" s="1">
        <v>0.186531266702298</v>
      </c>
      <c r="V7" s="1">
        <v>1.5175479974588E-3</v>
      </c>
      <c r="W7" s="1">
        <v>1.42739827976408E-3</v>
      </c>
    </row>
    <row r="8" spans="1:23" x14ac:dyDescent="0.25">
      <c r="A8" s="3">
        <v>43312</v>
      </c>
      <c r="B8" s="4">
        <v>274220.25</v>
      </c>
      <c r="C8" s="4">
        <v>287745.09999999998</v>
      </c>
      <c r="D8" s="4">
        <v>0</v>
      </c>
      <c r="E8" s="4">
        <v>780.26</v>
      </c>
      <c r="F8" s="4">
        <v>0</v>
      </c>
      <c r="G8" s="4">
        <v>43595.529999999897</v>
      </c>
      <c r="H8" s="4">
        <v>273226.23</v>
      </c>
      <c r="I8" s="4">
        <v>-211.09999999995401</v>
      </c>
      <c r="J8" s="1">
        <v>-7.3309760303818996E-4</v>
      </c>
      <c r="K8" s="1">
        <v>8.8740156398169304E-2</v>
      </c>
      <c r="L8" s="1">
        <v>1.3749164792351099E-2</v>
      </c>
      <c r="M8" s="1">
        <v>5.4000000000000003E-3</v>
      </c>
      <c r="N8" s="1">
        <v>3.3E-3</v>
      </c>
      <c r="O8" s="1">
        <v>5.2252252252251701E-3</v>
      </c>
      <c r="P8" s="1">
        <v>0.19661526323338199</v>
      </c>
      <c r="Q8" s="1">
        <v>3.6883851208083102E-2</v>
      </c>
      <c r="R8" s="1">
        <v>-3.2347313672825902E-2</v>
      </c>
      <c r="S8" s="1">
        <v>3.7385173662094699E-2</v>
      </c>
      <c r="T8" s="1">
        <v>2.9420210749322401E-2</v>
      </c>
      <c r="U8" s="1">
        <v>0.19273115980758901</v>
      </c>
      <c r="V8" s="1">
        <v>2.84537702813705E-3</v>
      </c>
      <c r="W8" s="1">
        <v>2.7116360973653401E-3</v>
      </c>
    </row>
    <row r="9" spans="1:23" x14ac:dyDescent="0.25">
      <c r="A9" s="3">
        <v>43343</v>
      </c>
      <c r="B9" s="4">
        <v>324859.49159851298</v>
      </c>
      <c r="C9" s="4">
        <v>343845.06999999902</v>
      </c>
      <c r="D9" s="4">
        <v>193.82159851301299</v>
      </c>
      <c r="E9" s="4">
        <v>1471.98</v>
      </c>
      <c r="F9" s="4">
        <v>11656.91</v>
      </c>
      <c r="G9" s="4">
        <v>48973.440000000002</v>
      </c>
      <c r="H9" s="4">
        <v>322199.67</v>
      </c>
      <c r="I9" s="4">
        <v>7126.5299999998297</v>
      </c>
      <c r="J9" s="1">
        <v>2.1164649858602402E-2</v>
      </c>
      <c r="K9" s="1">
        <v>-3.2087856601868102E-2</v>
      </c>
      <c r="L9" s="1">
        <v>-6.9855739774605796E-3</v>
      </c>
      <c r="M9" s="1">
        <v>5.6999999999999898E-3</v>
      </c>
      <c r="N9" s="1">
        <v>-8.9999999999999998E-4</v>
      </c>
      <c r="O9" s="1">
        <v>0.12206488618031899</v>
      </c>
      <c r="P9" s="1">
        <v>0.221941206295176</v>
      </c>
      <c r="Q9" s="1">
        <v>3.6124708777254201E-3</v>
      </c>
      <c r="R9" s="1">
        <v>-3.9106923097652797E-2</v>
      </c>
      <c r="S9" s="1">
        <v>4.3298269151968702E-2</v>
      </c>
      <c r="T9" s="1">
        <v>2.8493732559647902E-2</v>
      </c>
      <c r="U9" s="1">
        <v>0.33832175307322199</v>
      </c>
      <c r="V9" s="1">
        <v>4.53112818947333E-3</v>
      </c>
      <c r="W9" s="1">
        <v>4.2809396685547898E-3</v>
      </c>
    </row>
    <row r="10" spans="1:23" x14ac:dyDescent="0.25">
      <c r="A10" s="3">
        <v>43373</v>
      </c>
      <c r="B10" s="4">
        <v>329830.141598513</v>
      </c>
      <c r="C10" s="4">
        <v>347516.99</v>
      </c>
      <c r="D10" s="4">
        <v>85.699999999999903</v>
      </c>
      <c r="E10" s="4">
        <v>1090.44</v>
      </c>
      <c r="F10" s="4">
        <v>6607.1</v>
      </c>
      <c r="G10" s="4">
        <v>3794.5099999999602</v>
      </c>
      <c r="H10" s="4">
        <v>325994.18</v>
      </c>
      <c r="I10" s="4">
        <v>-122.58999999992299</v>
      </c>
      <c r="J10" s="1">
        <v>-3.5263533571150402E-4</v>
      </c>
      <c r="K10" s="1">
        <v>3.4742690211012298E-2</v>
      </c>
      <c r="L10" s="1">
        <v>-2.1454713726808401E-3</v>
      </c>
      <c r="M10" s="1">
        <v>4.6999999999999898E-3</v>
      </c>
      <c r="N10" s="1">
        <v>4.7999999999999996E-3</v>
      </c>
      <c r="O10" s="1">
        <v>-8.7859424920128104E-3</v>
      </c>
      <c r="P10" s="1">
        <v>0.22151030664767499</v>
      </c>
      <c r="Q10" s="1">
        <v>3.8480668045338798E-2</v>
      </c>
      <c r="R10" s="1">
        <v>-4.1168491686354003E-2</v>
      </c>
      <c r="S10" s="1">
        <v>4.8201771016982801E-2</v>
      </c>
      <c r="T10" s="1">
        <v>3.3430502475934203E-2</v>
      </c>
      <c r="U10" s="1">
        <v>0.32656333511491098</v>
      </c>
      <c r="V10" s="1">
        <v>3.3060653423462399E-3</v>
      </c>
      <c r="W10" s="1">
        <v>3.1378034207766299E-3</v>
      </c>
    </row>
    <row r="11" spans="1:23" x14ac:dyDescent="0.25">
      <c r="A11" s="3">
        <v>43404</v>
      </c>
      <c r="B11" s="4">
        <v>394270.761598513</v>
      </c>
      <c r="C11" s="4">
        <v>429115.68</v>
      </c>
      <c r="D11" s="4">
        <v>297.960000000001</v>
      </c>
      <c r="E11" s="4">
        <v>1094.53</v>
      </c>
      <c r="F11" s="4">
        <v>25659.599999999999</v>
      </c>
      <c r="G11" s="4">
        <v>63048.13</v>
      </c>
      <c r="H11" s="4">
        <v>389042.31</v>
      </c>
      <c r="I11" s="4">
        <v>18550.559999999899</v>
      </c>
      <c r="J11" s="1">
        <v>4.5182990703155498E-2</v>
      </c>
      <c r="K11" s="1">
        <v>0.101862821708552</v>
      </c>
      <c r="L11" s="1">
        <v>5.0421585160202301E-2</v>
      </c>
      <c r="M11" s="1">
        <v>5.4000000000000003E-3</v>
      </c>
      <c r="N11" s="1">
        <v>4.4999999999999997E-3</v>
      </c>
      <c r="O11" s="1">
        <v>-0.138195004029008</v>
      </c>
      <c r="P11" s="1">
        <v>0.276701795476745</v>
      </c>
      <c r="Q11" s="1">
        <v>0.14426323918222</v>
      </c>
      <c r="R11" s="1">
        <v>7.1773128643677301E-3</v>
      </c>
      <c r="S11" s="1">
        <v>5.3862060580474699E-2</v>
      </c>
      <c r="T11" s="1">
        <v>3.8080939737075797E-2</v>
      </c>
      <c r="U11" s="1">
        <v>0.14323890967397099</v>
      </c>
      <c r="V11" s="1">
        <v>2.77608716294961E-3</v>
      </c>
      <c r="W11" s="1">
        <v>2.5506641938602601E-3</v>
      </c>
    </row>
    <row r="12" spans="1:23" x14ac:dyDescent="0.25">
      <c r="A12" s="3">
        <v>43434</v>
      </c>
      <c r="B12" s="4">
        <v>481641.64859851298</v>
      </c>
      <c r="C12" s="4">
        <v>522815.57</v>
      </c>
      <c r="D12" s="4">
        <v>13.6570000000003</v>
      </c>
      <c r="E12" s="4">
        <v>2081.6</v>
      </c>
      <c r="F12" s="4">
        <v>26255.5</v>
      </c>
      <c r="G12" s="4">
        <v>85275.63</v>
      </c>
      <c r="H12" s="4">
        <v>474317.94</v>
      </c>
      <c r="I12" s="4">
        <v>8424.2599999999802</v>
      </c>
      <c r="J12" s="1">
        <v>1.6377142918685601E-2</v>
      </c>
      <c r="K12" s="1">
        <v>2.3792093704245901E-2</v>
      </c>
      <c r="L12" s="1">
        <v>2.58780613974063E-2</v>
      </c>
      <c r="M12" s="1">
        <v>4.8999999999999998E-3</v>
      </c>
      <c r="N12" s="1">
        <v>-2.0999999999999999E-3</v>
      </c>
      <c r="O12" s="1">
        <v>5.5633473585787699E-2</v>
      </c>
      <c r="P12" s="1">
        <v>0.29761052324581</v>
      </c>
      <c r="Q12" s="1">
        <v>0.171487657391167</v>
      </c>
      <c r="R12" s="1">
        <v>3.3241109204746599E-2</v>
      </c>
      <c r="S12" s="1">
        <v>5.9025984677318899E-2</v>
      </c>
      <c r="T12" s="1">
        <v>3.5900969763627798E-2</v>
      </c>
      <c r="U12" s="1">
        <v>0.20684126135756201</v>
      </c>
      <c r="V12" s="1">
        <v>4.3218853810858401E-3</v>
      </c>
      <c r="W12" s="1">
        <v>3.9815187600476297E-3</v>
      </c>
    </row>
    <row r="13" spans="1:23" x14ac:dyDescent="0.25">
      <c r="A13" s="3">
        <v>43465</v>
      </c>
      <c r="B13" s="4">
        <v>511279.09634301899</v>
      </c>
      <c r="C13" s="4">
        <v>561875.07400000002</v>
      </c>
      <c r="D13" s="4">
        <v>377.63974450648197</v>
      </c>
      <c r="E13" s="4">
        <v>2602.46</v>
      </c>
      <c r="F13" s="4">
        <v>24203.19</v>
      </c>
      <c r="G13" s="4">
        <v>26657.3479999999</v>
      </c>
      <c r="H13" s="4">
        <v>500975.288</v>
      </c>
      <c r="I13" s="4">
        <v>12402.156000000001</v>
      </c>
      <c r="J13" s="1">
        <v>2.2571005037231098E-2</v>
      </c>
      <c r="K13" s="1">
        <v>-1.8066231676796499E-2</v>
      </c>
      <c r="L13" s="1">
        <v>2.2221546031897899E-2</v>
      </c>
      <c r="M13" s="1">
        <v>4.8999999999999998E-3</v>
      </c>
      <c r="N13" s="1">
        <v>1.5E-3</v>
      </c>
      <c r="O13" s="1">
        <v>-9.0345438441098297E-2</v>
      </c>
      <c r="P13" s="1">
        <v>0.32689889690235602</v>
      </c>
      <c r="Q13" s="1">
        <v>0.15032328996623101</v>
      </c>
      <c r="R13" s="1">
        <v>5.6201324074989199E-2</v>
      </c>
      <c r="S13" s="1">
        <v>6.4215212002237607E-2</v>
      </c>
      <c r="T13" s="1">
        <v>3.7454821218273399E-2</v>
      </c>
      <c r="U13" s="1">
        <v>9.7808658471405699E-2</v>
      </c>
      <c r="V13" s="1">
        <v>5.0900966196630801E-3</v>
      </c>
      <c r="W13" s="1">
        <v>4.6317413254747799E-3</v>
      </c>
    </row>
    <row r="14" spans="1:23" x14ac:dyDescent="0.25">
      <c r="A14" s="3">
        <v>43496</v>
      </c>
      <c r="B14" s="4">
        <v>515422.67031042598</v>
      </c>
      <c r="C14" s="4">
        <v>595696.554</v>
      </c>
      <c r="D14" s="4">
        <v>61.863967406571597</v>
      </c>
      <c r="E14" s="4">
        <v>2016.6299999999901</v>
      </c>
      <c r="F14" s="4">
        <v>7741.4399999999896</v>
      </c>
      <c r="G14" s="4">
        <v>2065.08000000007</v>
      </c>
      <c r="H14" s="4">
        <v>503040.36800000002</v>
      </c>
      <c r="I14" s="4">
        <v>31756.3999999999</v>
      </c>
      <c r="J14" s="1">
        <v>5.6311648983945001E-2</v>
      </c>
      <c r="K14" s="1">
        <v>0.10817299486841001</v>
      </c>
      <c r="L14" s="1">
        <v>2.4706687815477999E-2</v>
      </c>
      <c r="M14" s="1">
        <v>5.4000000000000003E-3</v>
      </c>
      <c r="N14" s="1">
        <v>3.2000000000000002E-3</v>
      </c>
      <c r="O14" s="1">
        <v>1.7721518987341599E-2</v>
      </c>
      <c r="P14" s="1">
        <v>0.40161876182190498</v>
      </c>
      <c r="Q14" s="1">
        <v>0.27475720530876102</v>
      </c>
      <c r="R14" s="1">
        <v>8.2296560459204499E-2</v>
      </c>
      <c r="S14" s="1">
        <v>6.9961974147049799E-2</v>
      </c>
      <c r="T14" s="1">
        <v>4.0774676646172001E-2</v>
      </c>
      <c r="U14" s="1">
        <v>0.117263495456974</v>
      </c>
      <c r="V14" s="1">
        <v>3.9125752827003698E-3</v>
      </c>
      <c r="W14" s="1">
        <v>3.3853309817870698E-3</v>
      </c>
    </row>
    <row r="15" spans="1:23" x14ac:dyDescent="0.25">
      <c r="A15" s="3">
        <v>43524</v>
      </c>
      <c r="B15" s="4">
        <v>530051.53747865895</v>
      </c>
      <c r="C15" s="4">
        <v>607753.951999999</v>
      </c>
      <c r="D15" s="4">
        <v>-191.112831766299</v>
      </c>
      <c r="E15" s="4">
        <v>1628.51</v>
      </c>
      <c r="F15" s="4">
        <v>18300.29</v>
      </c>
      <c r="G15" s="4">
        <v>13191.469999999899</v>
      </c>
      <c r="H15" s="4">
        <v>516231.83799999999</v>
      </c>
      <c r="I15" s="4">
        <v>-1134.0720000000399</v>
      </c>
      <c r="J15" s="1">
        <v>-1.86252965290711E-3</v>
      </c>
      <c r="K15" s="1">
        <v>-1.8584307041501401E-2</v>
      </c>
      <c r="L15" s="1">
        <v>1.0320829650287E-2</v>
      </c>
      <c r="M15" s="1">
        <v>4.8999999999999998E-3</v>
      </c>
      <c r="N15" s="1">
        <v>4.3E-3</v>
      </c>
      <c r="O15" s="1">
        <v>6.4389590508993497E-2</v>
      </c>
      <c r="P15" s="1">
        <v>0.399008205315941</v>
      </c>
      <c r="Q15" s="1">
        <v>0.25106672600193602</v>
      </c>
      <c r="R15" s="1">
        <v>9.3466758890795504E-2</v>
      </c>
      <c r="S15" s="1">
        <v>7.5204787820370295E-2</v>
      </c>
      <c r="T15" s="1">
        <v>4.5250007755750499E-2</v>
      </c>
      <c r="U15" s="1">
        <v>0.189203634420096</v>
      </c>
      <c r="V15" s="1">
        <v>3.0723616192992599E-3</v>
      </c>
      <c r="W15" s="1">
        <v>2.6795547682427899E-3</v>
      </c>
    </row>
    <row r="16" spans="1:23" x14ac:dyDescent="0.25">
      <c r="A16" s="3">
        <v>43555</v>
      </c>
      <c r="B16" s="4">
        <v>551613.03161411802</v>
      </c>
      <c r="C16" s="4">
        <v>620052.74399999995</v>
      </c>
      <c r="D16" s="4">
        <v>6237.9974394454102</v>
      </c>
      <c r="E16" s="4">
        <v>2670.88</v>
      </c>
      <c r="F16" s="4">
        <v>36206.660000000003</v>
      </c>
      <c r="G16" s="4">
        <v>12652.6166960133</v>
      </c>
      <c r="H16" s="4">
        <v>528884.45469601301</v>
      </c>
      <c r="I16" s="4">
        <v>-353.824696013287</v>
      </c>
      <c r="J16" s="1">
        <v>-5.7031100872595398E-4</v>
      </c>
      <c r="K16" s="1">
        <v>-1.7680783394710101E-3</v>
      </c>
      <c r="L16" s="1">
        <v>1.9863958990536199E-2</v>
      </c>
      <c r="M16" s="1">
        <v>4.6999999999999898E-3</v>
      </c>
      <c r="N16" s="1">
        <v>7.4999999999999997E-3</v>
      </c>
      <c r="O16" s="1">
        <v>6.2022471910112301E-2</v>
      </c>
      <c r="P16" s="1">
        <v>0.39821033553515101</v>
      </c>
      <c r="Q16" s="1">
        <v>0.248854742022459</v>
      </c>
      <c r="R16" s="1">
        <v>0.115187337746917</v>
      </c>
      <c r="S16" s="1">
        <v>8.0258250323125904E-2</v>
      </c>
      <c r="T16" s="1">
        <v>5.3089382813918701E-2</v>
      </c>
      <c r="U16" s="1">
        <v>0.26296098343132002</v>
      </c>
      <c r="V16" s="1">
        <v>4.8419450718641E-3</v>
      </c>
      <c r="W16" s="1">
        <v>4.3075045241635097E-3</v>
      </c>
    </row>
    <row r="17" spans="1:23" x14ac:dyDescent="0.25">
      <c r="A17" s="3">
        <v>43585</v>
      </c>
      <c r="B17" s="4">
        <v>561165.11957410595</v>
      </c>
      <c r="C17" s="4">
        <v>622136.24800000002</v>
      </c>
      <c r="D17" s="4">
        <v>1133.63795998777</v>
      </c>
      <c r="E17" s="4">
        <v>1565.16</v>
      </c>
      <c r="F17" s="4">
        <v>35280.69</v>
      </c>
      <c r="G17" s="4">
        <v>6853.29000000003</v>
      </c>
      <c r="H17" s="4">
        <v>535737.74469601305</v>
      </c>
      <c r="I17" s="4">
        <v>-4769.78599999995</v>
      </c>
      <c r="J17" s="1">
        <v>-7.6084544434293902E-3</v>
      </c>
      <c r="K17" s="1">
        <v>9.8307394015615304E-3</v>
      </c>
      <c r="L17" s="1">
        <v>1.0282248320525799E-2</v>
      </c>
      <c r="M17" s="1">
        <v>5.1999999999999998E-3</v>
      </c>
      <c r="N17" s="1">
        <v>5.6999999999999898E-3</v>
      </c>
      <c r="O17" s="1">
        <v>3.9779940753279702E-2</v>
      </c>
      <c r="P17" s="1">
        <v>0.38757211589489998</v>
      </c>
      <c r="Q17" s="1">
        <v>0.26113190754168603</v>
      </c>
      <c r="R17" s="1">
        <v>0.12665397087753599</v>
      </c>
      <c r="S17" s="1">
        <v>8.5875593224806299E-2</v>
      </c>
      <c r="T17" s="1">
        <v>5.9091992295957997E-2</v>
      </c>
      <c r="U17" s="1">
        <v>0.313201496525922</v>
      </c>
      <c r="V17" s="1">
        <v>2.78912559851879E-3</v>
      </c>
      <c r="W17" s="1">
        <v>2.5157833272559898E-3</v>
      </c>
    </row>
    <row r="18" spans="1:23" x14ac:dyDescent="0.25">
      <c r="A18" s="3">
        <v>43616</v>
      </c>
      <c r="B18" s="4">
        <v>572650.15201305703</v>
      </c>
      <c r="C18" s="4">
        <v>637373.62399999995</v>
      </c>
      <c r="D18" s="4">
        <v>2242.7887172026999</v>
      </c>
      <c r="E18" s="4">
        <v>2629.6</v>
      </c>
      <c r="F18" s="4">
        <v>47004.1</v>
      </c>
      <c r="G18" s="4">
        <v>6612.6437217487201</v>
      </c>
      <c r="H18" s="4">
        <v>542350.38841776201</v>
      </c>
      <c r="I18" s="4">
        <v>8624.7322782512001</v>
      </c>
      <c r="J18" s="1">
        <v>1.3717292216028401E-2</v>
      </c>
      <c r="K18" s="1">
        <v>7.0262472367232896E-3</v>
      </c>
      <c r="L18" s="1">
        <v>1.7636389005162699E-2</v>
      </c>
      <c r="M18" s="1">
        <v>5.4000000000000003E-3</v>
      </c>
      <c r="N18" s="1">
        <v>1.2999999999999999E-3</v>
      </c>
      <c r="O18" s="1">
        <v>-6.3492063492063405E-2</v>
      </c>
      <c r="P18" s="1">
        <v>0.406605848079443</v>
      </c>
      <c r="Q18" s="1">
        <v>0.269992932122195</v>
      </c>
      <c r="R18" s="1">
        <v>0.146524078582144</v>
      </c>
      <c r="S18" s="1">
        <v>9.1739321428220194E-2</v>
      </c>
      <c r="T18" s="1">
        <v>6.0468811885942803E-2</v>
      </c>
      <c r="U18" s="1">
        <v>0.22982362373062501</v>
      </c>
      <c r="V18" s="1">
        <v>4.5919834138803102E-3</v>
      </c>
      <c r="W18" s="1">
        <v>4.1256806070782701E-3</v>
      </c>
    </row>
    <row r="19" spans="1:23" x14ac:dyDescent="0.25">
      <c r="A19" s="3">
        <v>43646</v>
      </c>
      <c r="B19" s="4">
        <v>642197.88143313699</v>
      </c>
      <c r="C19" s="4">
        <v>727280.478</v>
      </c>
      <c r="D19" s="4">
        <v>474.98942007982902</v>
      </c>
      <c r="E19" s="4">
        <v>2523.34</v>
      </c>
      <c r="F19" s="4">
        <v>14310.43</v>
      </c>
      <c r="G19" s="4">
        <v>66549.399999999703</v>
      </c>
      <c r="H19" s="4">
        <v>608899.78841776203</v>
      </c>
      <c r="I19" s="4">
        <v>23357.454000000202</v>
      </c>
      <c r="J19" s="1">
        <v>3.3181829835985298E-2</v>
      </c>
      <c r="K19" s="1">
        <v>4.0575079872204399E-2</v>
      </c>
      <c r="L19" s="1">
        <v>2.8757898530569599E-2</v>
      </c>
      <c r="M19" s="1">
        <v>4.6999999999999898E-3</v>
      </c>
      <c r="N19" s="1">
        <v>1E-4</v>
      </c>
      <c r="O19" s="1">
        <v>4.0417209908735402E-2</v>
      </c>
      <c r="P19" s="1">
        <v>0.45327960397671702</v>
      </c>
      <c r="Q19" s="1">
        <v>0.32152299678018798</v>
      </c>
      <c r="R19" s="1">
        <v>0.17949570169686399</v>
      </c>
      <c r="S19" s="1">
        <v>9.6870496238932804E-2</v>
      </c>
      <c r="T19" s="1">
        <v>6.0574858767131499E-2</v>
      </c>
      <c r="U19" s="1">
        <v>0.27952966328166701</v>
      </c>
      <c r="V19" s="1">
        <v>3.9292250456648596E-3</v>
      </c>
      <c r="W19" s="1">
        <v>3.4695555240793902E-3</v>
      </c>
    </row>
    <row r="20" spans="1:23" x14ac:dyDescent="0.25">
      <c r="A20" s="3">
        <v>43677</v>
      </c>
      <c r="B20" s="4">
        <v>623993.00752362597</v>
      </c>
      <c r="C20" s="4">
        <v>732481.41399999999</v>
      </c>
      <c r="D20" s="4">
        <v>4296.7060904887203</v>
      </c>
      <c r="E20" s="4">
        <v>1847.68</v>
      </c>
      <c r="F20" s="4">
        <v>63930.28</v>
      </c>
      <c r="G20" s="4">
        <v>-24349.259999999798</v>
      </c>
      <c r="H20" s="4">
        <v>584550.52841776202</v>
      </c>
      <c r="I20" s="4">
        <v>29550.1959999998</v>
      </c>
      <c r="J20" s="1">
        <v>4.0631086484353297E-2</v>
      </c>
      <c r="K20" s="1">
        <v>8.3690710826309599E-3</v>
      </c>
      <c r="L20" s="1">
        <v>1.2737519515631599E-2</v>
      </c>
      <c r="M20" s="1">
        <v>5.6999999999999898E-3</v>
      </c>
      <c r="N20" s="1">
        <v>1.9E-3</v>
      </c>
      <c r="O20" s="1">
        <v>1.1779448621553799E-2</v>
      </c>
      <c r="P20" s="1">
        <v>0.512327933251842</v>
      </c>
      <c r="Q20" s="1">
        <v>0.332582916677573</v>
      </c>
      <c r="R20" s="1">
        <v>0.194519551215831</v>
      </c>
      <c r="S20" s="1">
        <v>0.103122658067494</v>
      </c>
      <c r="T20" s="1">
        <v>6.2589950998789001E-2</v>
      </c>
      <c r="U20" s="1">
        <v>0.29460181721004702</v>
      </c>
      <c r="V20" s="1">
        <v>2.9610588223298899E-3</v>
      </c>
      <c r="W20" s="1">
        <v>2.52249403832654E-3</v>
      </c>
    </row>
    <row r="21" spans="1:23" x14ac:dyDescent="0.25">
      <c r="A21" s="3">
        <v>43708</v>
      </c>
      <c r="B21" s="4">
        <v>633669.04336208699</v>
      </c>
      <c r="C21" s="4">
        <v>744135.34199999995</v>
      </c>
      <c r="D21" s="4">
        <v>3262.0458384613598</v>
      </c>
      <c r="E21" s="4">
        <v>3095.93</v>
      </c>
      <c r="F21" s="4">
        <v>44881.17</v>
      </c>
      <c r="G21" s="4">
        <v>3318.06000000022</v>
      </c>
      <c r="H21" s="4">
        <v>587868.58841776196</v>
      </c>
      <c r="I21" s="4">
        <v>8335.8679999998403</v>
      </c>
      <c r="J21" s="1">
        <v>1.1328994236274601E-2</v>
      </c>
      <c r="K21" s="1">
        <v>-6.6495108631595603E-3</v>
      </c>
      <c r="L21" s="1">
        <v>-1.0753698934030599E-3</v>
      </c>
      <c r="M21" s="1">
        <v>5.0000000000000001E-3</v>
      </c>
      <c r="N21" s="1">
        <v>1.1000000000000001E-3</v>
      </c>
      <c r="O21" s="1">
        <v>6.5807943192139395E-2</v>
      </c>
      <c r="P21" s="1">
        <v>0.52946108769100997</v>
      </c>
      <c r="Q21" s="1">
        <v>0.32372189209706498</v>
      </c>
      <c r="R21" s="1">
        <v>0.193235000853373</v>
      </c>
      <c r="S21" s="1">
        <v>0.10863827135783199</v>
      </c>
      <c r="T21" s="1">
        <v>6.3758799944887798E-2</v>
      </c>
      <c r="U21" s="1">
        <v>0.37979690005344702</v>
      </c>
      <c r="V21" s="1">
        <v>4.88572075980511E-3</v>
      </c>
      <c r="W21" s="1">
        <v>4.1604394056585399E-3</v>
      </c>
    </row>
    <row r="22" spans="1:23" x14ac:dyDescent="0.25">
      <c r="A22" s="3">
        <v>43738</v>
      </c>
      <c r="B22" s="4">
        <v>644134.25045538496</v>
      </c>
      <c r="C22" s="4">
        <v>762971.99099999899</v>
      </c>
      <c r="D22" s="4">
        <v>1261.0670932974699</v>
      </c>
      <c r="E22" s="4">
        <v>1608.28999999999</v>
      </c>
      <c r="F22" s="4">
        <v>20416.75</v>
      </c>
      <c r="G22" s="4">
        <v>7595.8499999998003</v>
      </c>
      <c r="H22" s="4">
        <v>595464.43841776205</v>
      </c>
      <c r="I22" s="4">
        <v>11240.799000000001</v>
      </c>
      <c r="J22" s="1">
        <v>1.49532161491046E-2</v>
      </c>
      <c r="K22" s="1">
        <v>3.5694863301527699E-2</v>
      </c>
      <c r="L22" s="1">
        <v>1.0377575102853601E-2</v>
      </c>
      <c r="M22" s="1">
        <v>4.5999999999999999E-3</v>
      </c>
      <c r="N22" s="1">
        <v>-4.0000000000000002E-4</v>
      </c>
      <c r="O22" s="1">
        <v>2.51007127362874E-2</v>
      </c>
      <c r="P22" s="1">
        <v>0.55233144992689798</v>
      </c>
      <c r="Q22" s="1">
        <v>0.370971964084709</v>
      </c>
      <c r="R22" s="1">
        <v>0.20561788669008199</v>
      </c>
      <c r="S22" s="1">
        <v>0.11373800740607801</v>
      </c>
      <c r="T22" s="1">
        <v>6.3333296424909993E-2</v>
      </c>
      <c r="U22" s="1">
        <v>0.41443078567610803</v>
      </c>
      <c r="V22" s="1">
        <v>2.4968242239299999E-3</v>
      </c>
      <c r="W22" s="1">
        <v>2.1079279697961998E-3</v>
      </c>
    </row>
    <row r="23" spans="1:23" x14ac:dyDescent="0.25">
      <c r="A23" s="3">
        <v>43769</v>
      </c>
      <c r="B23" s="4">
        <v>653375.01244439604</v>
      </c>
      <c r="C23" s="4">
        <v>773408.77599999995</v>
      </c>
      <c r="D23" s="4">
        <v>3827.66198901083</v>
      </c>
      <c r="E23" s="4">
        <v>1258.8</v>
      </c>
      <c r="F23" s="4">
        <v>23040.76</v>
      </c>
      <c r="G23" s="4">
        <v>4154.3000000001202</v>
      </c>
      <c r="H23" s="4">
        <v>599618.73841776198</v>
      </c>
      <c r="I23" s="4">
        <v>6282.4849999998996</v>
      </c>
      <c r="J23" s="1">
        <v>8.1896358835651297E-3</v>
      </c>
      <c r="K23" s="1">
        <v>2.3628812831161399E-2</v>
      </c>
      <c r="L23" s="1">
        <v>4.0130240736739202E-2</v>
      </c>
      <c r="M23" s="1">
        <v>4.7999999999999996E-3</v>
      </c>
      <c r="N23" s="1">
        <v>1E-3</v>
      </c>
      <c r="O23" s="1">
        <v>-1.7533252720677E-2</v>
      </c>
      <c r="P23" s="1">
        <v>0.56504447927240598</v>
      </c>
      <c r="Q23" s="1">
        <v>0.40336640402083601</v>
      </c>
      <c r="R23" s="1">
        <v>0.25399962271947402</v>
      </c>
      <c r="S23" s="1">
        <v>0.119083949841627</v>
      </c>
      <c r="T23" s="1">
        <v>6.4396629721334697E-2</v>
      </c>
      <c r="U23" s="1">
        <v>0.38963121325494299</v>
      </c>
      <c r="V23" s="1">
        <v>1.92661178653067E-3</v>
      </c>
      <c r="W23" s="1">
        <v>1.6275998399066501E-3</v>
      </c>
    </row>
    <row r="24" spans="1:23" x14ac:dyDescent="0.25">
      <c r="A24" s="3">
        <v>43799</v>
      </c>
      <c r="B24" s="4">
        <v>683717.46848766599</v>
      </c>
      <c r="C24" s="4">
        <v>830159.98699999996</v>
      </c>
      <c r="D24" s="4">
        <v>10676.826043270101</v>
      </c>
      <c r="E24" s="4">
        <v>3742.22</v>
      </c>
      <c r="F24" s="4">
        <v>38402.129999999997</v>
      </c>
      <c r="G24" s="4">
        <v>15923.4099999998</v>
      </c>
      <c r="H24" s="4">
        <v>615542.14841776202</v>
      </c>
      <c r="I24" s="4">
        <v>40827.801000000101</v>
      </c>
      <c r="J24" s="1">
        <v>5.1724485234661402E-2</v>
      </c>
      <c r="K24" s="1">
        <v>9.4478642044395402E-3</v>
      </c>
      <c r="L24" s="1">
        <v>3.5200825220811097E-2</v>
      </c>
      <c r="M24" s="1">
        <v>3.8E-3</v>
      </c>
      <c r="N24" s="1">
        <v>5.1000000000000004E-3</v>
      </c>
      <c r="O24" s="1">
        <v>0.104615384615384</v>
      </c>
      <c r="P24" s="1">
        <v>0.64599559933212003</v>
      </c>
      <c r="Q24" s="1">
        <v>0.41662521923509799</v>
      </c>
      <c r="R24" s="1">
        <v>0.29814144426578498</v>
      </c>
      <c r="S24" s="1">
        <v>0.12333646885102501</v>
      </c>
      <c r="T24" s="1">
        <v>6.9825052532913601E-2</v>
      </c>
      <c r="U24" s="1">
        <v>0.53500801710315304</v>
      </c>
      <c r="V24" s="1">
        <v>5.4733426780472902E-3</v>
      </c>
      <c r="W24" s="1">
        <v>4.5078298865300504E-3</v>
      </c>
    </row>
    <row r="25" spans="1:23" x14ac:dyDescent="0.25">
      <c r="A25" s="3">
        <v>43830</v>
      </c>
      <c r="B25" s="4">
        <v>698115.94155015296</v>
      </c>
      <c r="C25" s="4">
        <v>941043.951</v>
      </c>
      <c r="D25" s="4">
        <v>6390.76306248739</v>
      </c>
      <c r="E25" s="4">
        <v>1862.84</v>
      </c>
      <c r="F25" s="4">
        <v>26122.87</v>
      </c>
      <c r="G25" s="4">
        <v>6144.8699999999199</v>
      </c>
      <c r="H25" s="4">
        <v>621687.01841776201</v>
      </c>
      <c r="I25" s="4">
        <v>104739.094</v>
      </c>
      <c r="J25" s="1">
        <v>0.125240327284145</v>
      </c>
      <c r="K25" s="1">
        <v>7.14292313804476E-2</v>
      </c>
      <c r="L25" s="1">
        <v>0.10632953436714999</v>
      </c>
      <c r="M25" s="1">
        <v>3.7000000000000002E-3</v>
      </c>
      <c r="N25" s="1">
        <v>1.15E-2</v>
      </c>
      <c r="O25" s="1">
        <v>-3.4052924791086202E-2</v>
      </c>
      <c r="P25" s="1">
        <v>0.852140626900737</v>
      </c>
      <c r="Q25" s="1">
        <v>0.51781366979921895</v>
      </c>
      <c r="R25" s="1">
        <v>0.43617221957726598</v>
      </c>
      <c r="S25" s="1">
        <v>0.12749281378577401</v>
      </c>
      <c r="T25" s="1">
        <v>8.2128040637042099E-2</v>
      </c>
      <c r="U25" s="1">
        <v>0.48273650454302502</v>
      </c>
      <c r="V25" s="1">
        <v>2.6683819823159999E-3</v>
      </c>
      <c r="W25" s="1">
        <v>1.9795462241911799E-3</v>
      </c>
    </row>
    <row r="26" spans="1:23" x14ac:dyDescent="0.25">
      <c r="A26" s="3">
        <v>43861</v>
      </c>
      <c r="B26" s="4">
        <v>734639.67271869199</v>
      </c>
      <c r="C26" s="4">
        <v>950605.55099999998</v>
      </c>
      <c r="D26" s="4">
        <v>17243.415168539301</v>
      </c>
      <c r="E26" s="4">
        <v>2394.2999999999902</v>
      </c>
      <c r="F26" s="4">
        <v>36132.42</v>
      </c>
      <c r="G26" s="4">
        <v>16886.015999999901</v>
      </c>
      <c r="H26" s="4">
        <v>638573.03441776196</v>
      </c>
      <c r="I26" s="4">
        <v>-7324.4159999998401</v>
      </c>
      <c r="J26" s="1">
        <v>-7.6460871382258901E-3</v>
      </c>
      <c r="K26" s="1">
        <v>-1.8997275016384301E-2</v>
      </c>
      <c r="L26" s="1">
        <v>-3.7622201790103602E-2</v>
      </c>
      <c r="M26" s="1">
        <v>3.8E-3</v>
      </c>
      <c r="N26" s="1">
        <v>2.0999999999999999E-3</v>
      </c>
      <c r="O26" s="1">
        <v>6.7695191406531505E-2</v>
      </c>
      <c r="P26" s="1">
        <v>0.83797899827520606</v>
      </c>
      <c r="Q26" s="1">
        <v>0.48897934609041499</v>
      </c>
      <c r="R26" s="1">
        <v>0.38214025852698902</v>
      </c>
      <c r="S26" s="1">
        <v>0.13177728647816001</v>
      </c>
      <c r="T26" s="1">
        <v>8.4400509522379805E-2</v>
      </c>
      <c r="U26" s="1">
        <v>0.58311063602351598</v>
      </c>
      <c r="V26" s="1">
        <v>3.2591487894185899E-3</v>
      </c>
      <c r="W26" s="1">
        <v>2.5187103078466999E-3</v>
      </c>
    </row>
    <row r="27" spans="1:23" x14ac:dyDescent="0.25">
      <c r="A27" s="3">
        <v>43890</v>
      </c>
      <c r="B27" s="4">
        <v>766864.81052337599</v>
      </c>
      <c r="C27" s="4">
        <v>935091.130999999</v>
      </c>
      <c r="D27" s="4">
        <v>488.36780468293603</v>
      </c>
      <c r="E27" s="4">
        <v>2843.11</v>
      </c>
      <c r="F27" s="4">
        <v>50932.31</v>
      </c>
      <c r="G27" s="4">
        <v>28893.6600000002</v>
      </c>
      <c r="H27" s="4">
        <v>667466.69441776199</v>
      </c>
      <c r="I27" s="4">
        <v>-44408.080000000402</v>
      </c>
      <c r="J27" s="1">
        <v>-4.5337535243813898E-2</v>
      </c>
      <c r="K27" s="1">
        <v>-8.4290749905503601E-2</v>
      </c>
      <c r="L27" s="1">
        <v>-3.6873472677169498E-2</v>
      </c>
      <c r="M27" s="1">
        <v>2.8999999999999998E-3</v>
      </c>
      <c r="N27" s="1">
        <v>2.5000000000000001E-3</v>
      </c>
      <c r="O27" s="1">
        <v>-4.4159351789331502E-2</v>
      </c>
      <c r="P27" s="1">
        <v>0.75464956066351396</v>
      </c>
      <c r="Q27" s="1">
        <v>0.36347216041464803</v>
      </c>
      <c r="R27" s="1">
        <v>0.33117594746817802</v>
      </c>
      <c r="S27" s="1">
        <v>0.13505944060894601</v>
      </c>
      <c r="T27" s="1">
        <v>8.7111510796185704E-2</v>
      </c>
      <c r="U27" s="1">
        <v>0.51320149652592195</v>
      </c>
      <c r="V27" s="1">
        <v>3.7074461638937498E-3</v>
      </c>
      <c r="W27" s="1">
        <v>3.0404630155774601E-3</v>
      </c>
    </row>
    <row r="28" spans="1:23" x14ac:dyDescent="0.25">
      <c r="A28" s="3">
        <v>43921</v>
      </c>
      <c r="B28" s="4">
        <v>827041.217991582</v>
      </c>
      <c r="C28" s="4">
        <v>748024.68099999998</v>
      </c>
      <c r="D28" s="4">
        <v>8982.9774682067491</v>
      </c>
      <c r="E28" s="4">
        <v>3172.4499999999898</v>
      </c>
      <c r="F28" s="4">
        <v>151554.4</v>
      </c>
      <c r="G28" s="4">
        <v>48018.690000000199</v>
      </c>
      <c r="H28" s="4">
        <v>715485.38441776205</v>
      </c>
      <c r="I28" s="4">
        <v>-235085.14</v>
      </c>
      <c r="J28" s="1">
        <v>-0.23912398694265499</v>
      </c>
      <c r="K28" s="1">
        <v>-0.29904388895288497</v>
      </c>
      <c r="L28" s="1">
        <v>-0.15848181900999</v>
      </c>
      <c r="M28" s="1">
        <v>3.3999999999999998E-3</v>
      </c>
      <c r="N28" s="1">
        <v>6.9999999999999999E-4</v>
      </c>
      <c r="O28" s="1">
        <v>2.1616275784119801E-2</v>
      </c>
      <c r="P28" s="1">
        <v>0.33507076203047598</v>
      </c>
      <c r="Q28" s="1">
        <v>-4.4265856914740803E-2</v>
      </c>
      <c r="R28" s="1">
        <v>0.120208761891074</v>
      </c>
      <c r="S28" s="1">
        <v>0.13891864270701701</v>
      </c>
      <c r="T28" s="1">
        <v>8.7872488853742894E-2</v>
      </c>
      <c r="U28" s="1">
        <v>0.54591127739176903</v>
      </c>
      <c r="V28" s="1">
        <v>3.8359031339503099E-3</v>
      </c>
      <c r="W28" s="1">
        <v>4.24110337610638E-3</v>
      </c>
    </row>
    <row r="29" spans="1:23" x14ac:dyDescent="0.25">
      <c r="A29" s="3">
        <v>43951</v>
      </c>
      <c r="B29" s="4">
        <v>879006.54630250705</v>
      </c>
      <c r="C29" s="4">
        <v>873484.08600000001</v>
      </c>
      <c r="D29" s="4">
        <v>-452.97168907562798</v>
      </c>
      <c r="E29" s="4">
        <v>1564.31</v>
      </c>
      <c r="F29" s="4">
        <v>23536</v>
      </c>
      <c r="G29" s="4">
        <v>50853.9900000001</v>
      </c>
      <c r="H29" s="4">
        <v>766339.37441776204</v>
      </c>
      <c r="I29" s="4">
        <v>74605.414999999804</v>
      </c>
      <c r="J29" s="1">
        <v>9.3387666623533802E-2</v>
      </c>
      <c r="K29" s="1">
        <v>0.102519857573267</v>
      </c>
      <c r="L29" s="1">
        <v>4.3911631450222498E-2</v>
      </c>
      <c r="M29" s="1">
        <v>2.8E-3</v>
      </c>
      <c r="N29" s="1">
        <v>-3.0999999999999999E-3</v>
      </c>
      <c r="O29" s="1">
        <v>0.178951735582906</v>
      </c>
      <c r="P29" s="1">
        <v>0.45974990527380599</v>
      </c>
      <c r="Q29" s="1">
        <v>5.3715871312268702E-2</v>
      </c>
      <c r="R29" s="1">
        <v>0.16939895619054501</v>
      </c>
      <c r="S29" s="1">
        <v>0.14210761490659601</v>
      </c>
      <c r="T29" s="1">
        <v>8.4500084138296294E-2</v>
      </c>
      <c r="U29" s="1">
        <v>0.82255478353821398</v>
      </c>
      <c r="V29" s="1">
        <v>1.7796340727838499E-3</v>
      </c>
      <c r="W29" s="1">
        <v>1.7908855182050701E-3</v>
      </c>
    </row>
    <row r="30" spans="1:23" x14ac:dyDescent="0.25">
      <c r="A30" s="3">
        <v>43982</v>
      </c>
      <c r="B30" s="4">
        <v>899582.15573375195</v>
      </c>
      <c r="C30" s="4">
        <v>964196.90800000005</v>
      </c>
      <c r="D30" s="4">
        <v>2888.0794312450498</v>
      </c>
      <c r="E30" s="4">
        <v>2178.3799999999901</v>
      </c>
      <c r="F30" s="4">
        <v>44850.35</v>
      </c>
      <c r="G30" s="4">
        <v>15509.1499999999</v>
      </c>
      <c r="H30" s="4">
        <v>781848.52441776195</v>
      </c>
      <c r="I30" s="4">
        <v>75203.672000000006</v>
      </c>
      <c r="J30" s="1">
        <v>8.4594200444512796E-2</v>
      </c>
      <c r="K30" s="1">
        <v>8.5670633244726999E-2</v>
      </c>
      <c r="L30" s="1">
        <v>2.0763398652645201E-2</v>
      </c>
      <c r="M30" s="1">
        <v>2.3999999999999998E-3</v>
      </c>
      <c r="N30" s="1">
        <v>-3.8E-3</v>
      </c>
      <c r="O30" s="1">
        <v>3.0205278592375401E-2</v>
      </c>
      <c r="P30" s="1">
        <v>0.58323628135939698</v>
      </c>
      <c r="Q30" s="1">
        <v>0.14398837726760999</v>
      </c>
      <c r="R30" s="1">
        <v>0.19367965290191599</v>
      </c>
      <c r="S30" s="1">
        <v>0.14484867318237199</v>
      </c>
      <c r="T30" s="1">
        <v>8.0378983818570796E-2</v>
      </c>
      <c r="U30" s="1">
        <v>0.877605558524853</v>
      </c>
      <c r="V30" s="1">
        <v>2.4215464770120701E-3</v>
      </c>
      <c r="W30" s="1">
        <v>2.2592688090221501E-3</v>
      </c>
    </row>
    <row r="31" spans="1:23" x14ac:dyDescent="0.25">
      <c r="A31" s="3">
        <v>44012</v>
      </c>
      <c r="B31" s="4">
        <v>906064.72546633205</v>
      </c>
      <c r="C31" s="4">
        <v>1031557.194</v>
      </c>
      <c r="D31" s="4">
        <v>2549.5504525423398</v>
      </c>
      <c r="E31" s="4">
        <v>945.75999999999897</v>
      </c>
      <c r="F31" s="4">
        <v>64569.789999999899</v>
      </c>
      <c r="G31" s="4">
        <v>2987.2592800376401</v>
      </c>
      <c r="H31" s="4">
        <v>784835.78369780001</v>
      </c>
      <c r="I31" s="4">
        <v>64373.026719962298</v>
      </c>
      <c r="J31" s="1">
        <v>6.65571551910277E-2</v>
      </c>
      <c r="K31" s="1">
        <v>8.7559923572417306E-2</v>
      </c>
      <c r="L31" s="1">
        <v>5.5913428253213403E-2</v>
      </c>
      <c r="M31" s="1">
        <v>2.0999999999999999E-3</v>
      </c>
      <c r="N31" s="1">
        <v>2.5999999999999999E-3</v>
      </c>
      <c r="O31" s="1">
        <v>3.4557358383148197E-2</v>
      </c>
      <c r="P31" s="1">
        <v>0.68861198424189995</v>
      </c>
      <c r="Q31" s="1">
        <v>0.24415591214889501</v>
      </c>
      <c r="R31" s="1">
        <v>0.26042237453176798</v>
      </c>
      <c r="S31" s="1">
        <v>0.14725285539605501</v>
      </c>
      <c r="T31" s="1">
        <v>8.3187969176499094E-2</v>
      </c>
      <c r="U31" s="1">
        <v>0.94249064671298699</v>
      </c>
      <c r="V31" s="1">
        <v>1.0438106389289499E-3</v>
      </c>
      <c r="W31" s="1">
        <v>9.1682749681836796E-4</v>
      </c>
    </row>
    <row r="32" spans="1:23" x14ac:dyDescent="0.25">
      <c r="A32" s="3">
        <v>44043</v>
      </c>
      <c r="B32" s="4">
        <v>945434.76580668101</v>
      </c>
      <c r="C32" s="4">
        <v>1127046.6299999999</v>
      </c>
      <c r="D32" s="4">
        <v>31.2603403487355</v>
      </c>
      <c r="E32" s="4">
        <v>888.45999999999901</v>
      </c>
      <c r="F32" s="4">
        <v>15720.51</v>
      </c>
      <c r="G32" s="4">
        <v>38450.319999999803</v>
      </c>
      <c r="H32" s="4">
        <v>823286.10369779903</v>
      </c>
      <c r="I32" s="4">
        <v>57039.1159999999</v>
      </c>
      <c r="J32" s="1">
        <v>5.3307210700578297E-2</v>
      </c>
      <c r="K32" s="1">
        <v>8.2646019188688802E-2</v>
      </c>
      <c r="L32" s="1">
        <v>-2.6070099918753701E-2</v>
      </c>
      <c r="M32" s="1">
        <v>1.9E-3</v>
      </c>
      <c r="N32" s="1">
        <v>3.5999999999999999E-3</v>
      </c>
      <c r="O32" s="1">
        <v>1.07858243451464E-2</v>
      </c>
      <c r="P32" s="1">
        <v>0.77862717907740397</v>
      </c>
      <c r="Q32" s="1">
        <v>0.346980445538074</v>
      </c>
      <c r="R32" s="1">
        <v>0.22756303728789201</v>
      </c>
      <c r="S32" s="1">
        <v>0.149432635821308</v>
      </c>
      <c r="T32" s="1">
        <v>8.7087445865534602E-2</v>
      </c>
      <c r="U32" s="1">
        <v>0.96344200962052295</v>
      </c>
      <c r="V32" s="1">
        <v>9.3973696772397803E-4</v>
      </c>
      <c r="W32" s="1">
        <v>7.8830811108498598E-4</v>
      </c>
    </row>
    <row r="33" spans="1:23" x14ac:dyDescent="0.25">
      <c r="A33" s="3">
        <v>44074</v>
      </c>
      <c r="B33" s="4">
        <v>909797.80284436897</v>
      </c>
      <c r="C33" s="4">
        <v>1087076.4939999999</v>
      </c>
      <c r="D33" s="4">
        <v>1907.45703768872</v>
      </c>
      <c r="E33" s="4">
        <v>4052.54</v>
      </c>
      <c r="F33" s="4">
        <v>67596.66</v>
      </c>
      <c r="G33" s="4">
        <v>-41596.959999999897</v>
      </c>
      <c r="H33" s="4">
        <v>781689.14369779895</v>
      </c>
      <c r="I33" s="4">
        <v>1626.8240000000001</v>
      </c>
      <c r="J33" s="1">
        <v>1.4434398335407799E-3</v>
      </c>
      <c r="K33" s="1">
        <v>-3.4427472014925298E-2</v>
      </c>
      <c r="L33" s="1">
        <v>1.79209109003628E-2</v>
      </c>
      <c r="M33" s="1">
        <v>1.6000000000000001E-3</v>
      </c>
      <c r="N33" s="1">
        <v>2.3999999999999998E-3</v>
      </c>
      <c r="O33" s="1">
        <v>0.12777656794424999</v>
      </c>
      <c r="P33" s="1">
        <v>0.78119452039670301</v>
      </c>
      <c r="Q33" s="1">
        <v>0.30060731394466</v>
      </c>
      <c r="R33" s="1">
        <v>0.249562085103707</v>
      </c>
      <c r="S33" s="1">
        <v>0.15127172803862199</v>
      </c>
      <c r="T33" s="1">
        <v>8.9696455735611899E-2</v>
      </c>
      <c r="U33" s="1">
        <v>1.2143238909673899</v>
      </c>
      <c r="V33" s="1">
        <v>4.4543303878402801E-3</v>
      </c>
      <c r="W33" s="1">
        <v>3.7279253321799801E-3</v>
      </c>
    </row>
    <row r="34" spans="1:23" x14ac:dyDescent="0.25">
      <c r="A34" s="3">
        <v>44104</v>
      </c>
      <c r="B34" s="4">
        <v>956452.95455865504</v>
      </c>
      <c r="C34" s="4">
        <v>1080610.8999999999</v>
      </c>
      <c r="D34" s="4">
        <v>8333.7785961726095</v>
      </c>
      <c r="E34" s="4">
        <v>3460.95</v>
      </c>
      <c r="F34" s="4">
        <v>36647.5</v>
      </c>
      <c r="G34" s="4">
        <v>34860.423118112703</v>
      </c>
      <c r="H34" s="4">
        <v>816549.56681591203</v>
      </c>
      <c r="I34" s="4">
        <v>-41326.017118112701</v>
      </c>
      <c r="J34" s="1">
        <v>-3.6834528294394403E-2</v>
      </c>
      <c r="K34" s="1">
        <v>-4.79626442854411E-2</v>
      </c>
      <c r="L34" s="1">
        <v>4.5936522770568802E-3</v>
      </c>
      <c r="M34" s="1">
        <v>1.6000000000000001E-3</v>
      </c>
      <c r="N34" s="1">
        <v>6.4000000000000003E-3</v>
      </c>
      <c r="O34" s="1">
        <v>-1.53029205889453E-2</v>
      </c>
      <c r="P34" s="1">
        <v>0.71558506043732995</v>
      </c>
      <c r="Q34" s="1">
        <v>0.238226747990889</v>
      </c>
      <c r="R34" s="1">
        <v>0.25530213882126801</v>
      </c>
      <c r="S34" s="1">
        <v>0.15311376280348399</v>
      </c>
      <c r="T34" s="1">
        <v>9.6670513052319704E-2</v>
      </c>
      <c r="U34" s="1">
        <v>1.18043826830571</v>
      </c>
      <c r="V34" s="1">
        <v>3.6185261214410798E-3</v>
      </c>
      <c r="W34" s="1">
        <v>3.20277169145711E-3</v>
      </c>
    </row>
    <row r="35" spans="1:23" x14ac:dyDescent="0.25">
      <c r="A35" s="3">
        <v>44135</v>
      </c>
      <c r="B35" s="4">
        <v>1000826.29546633</v>
      </c>
      <c r="C35" s="4">
        <v>1124208.6980000001</v>
      </c>
      <c r="D35" s="4">
        <v>1795.84526681285</v>
      </c>
      <c r="E35" s="4">
        <v>909.77</v>
      </c>
      <c r="F35" s="4">
        <v>53622.1</v>
      </c>
      <c r="G35" s="4">
        <v>41667.725640864199</v>
      </c>
      <c r="H35" s="4">
        <v>858217.29245677602</v>
      </c>
      <c r="I35" s="4">
        <v>1930.0723591359499</v>
      </c>
      <c r="J35" s="1">
        <v>1.7197800216803799E-3</v>
      </c>
      <c r="K35" s="1">
        <v>-6.8813885394755003E-3</v>
      </c>
      <c r="L35" s="1">
        <v>-1.00612548660407E-2</v>
      </c>
      <c r="M35" s="1">
        <v>1.6000000000000001E-3</v>
      </c>
      <c r="N35" s="1">
        <v>8.6E-3</v>
      </c>
      <c r="O35" s="1">
        <v>-6.7653691538386296E-3</v>
      </c>
      <c r="P35" s="1">
        <v>0.71853548934976297</v>
      </c>
      <c r="Q35" s="1">
        <v>0.229706028637993</v>
      </c>
      <c r="R35" s="1">
        <v>0.24267222406870101</v>
      </c>
      <c r="S35" s="1">
        <v>0.15495874482396901</v>
      </c>
      <c r="T35" s="1">
        <v>0.106101879464569</v>
      </c>
      <c r="U35" s="1">
        <v>1.16568679850347</v>
      </c>
      <c r="V35" s="1">
        <v>9.0901888181914195E-4</v>
      </c>
      <c r="W35" s="1">
        <v>8.0925365692198102E-4</v>
      </c>
    </row>
    <row r="36" spans="1:23" x14ac:dyDescent="0.25">
      <c r="A36" s="3">
        <v>44165</v>
      </c>
      <c r="B36" s="4">
        <v>1068430.2254663301</v>
      </c>
      <c r="C36" s="4">
        <v>1339314.662</v>
      </c>
      <c r="D36" s="4">
        <v>0</v>
      </c>
      <c r="E36" s="4">
        <v>6396.36</v>
      </c>
      <c r="F36" s="4">
        <v>0</v>
      </c>
      <c r="G36" s="4">
        <v>61207.570000000102</v>
      </c>
      <c r="H36" s="4">
        <v>919424.86245677702</v>
      </c>
      <c r="I36" s="4">
        <v>153898.39399999901</v>
      </c>
      <c r="J36" s="1">
        <v>0.129826456878015</v>
      </c>
      <c r="K36" s="1">
        <v>0.15897479564032599</v>
      </c>
      <c r="L36" s="1">
        <v>1.51079240700313E-2</v>
      </c>
      <c r="M36" s="1">
        <v>1.5E-3</v>
      </c>
      <c r="N36" s="1">
        <v>8.8999999999999999E-3</v>
      </c>
      <c r="O36" s="1">
        <v>3.6525172754195499E-2</v>
      </c>
      <c r="P36" s="1">
        <v>0.94164686295116895</v>
      </c>
      <c r="Q36" s="1">
        <v>0.42519829323839597</v>
      </c>
      <c r="R36" s="1">
        <v>0.261446421673868</v>
      </c>
      <c r="S36" s="1">
        <v>0.15669118294120499</v>
      </c>
      <c r="T36" s="1">
        <v>0.115946186191804</v>
      </c>
      <c r="U36" s="1">
        <v>1.24478888295029</v>
      </c>
      <c r="V36" s="1">
        <v>5.9866894885047001E-3</v>
      </c>
      <c r="W36" s="1">
        <v>4.7758455734728603E-3</v>
      </c>
    </row>
    <row r="37" spans="1:23" x14ac:dyDescent="0.25">
      <c r="A37" s="3">
        <v>44196</v>
      </c>
      <c r="B37" s="4">
        <v>1096060.31167382</v>
      </c>
      <c r="C37" s="4">
        <v>1471777.8699999901</v>
      </c>
      <c r="D37" s="4">
        <v>10976.7262074966</v>
      </c>
      <c r="E37" s="4">
        <v>1898.45</v>
      </c>
      <c r="F37" s="4">
        <v>51251.83</v>
      </c>
      <c r="G37" s="4">
        <v>14754.91</v>
      </c>
      <c r="H37" s="4">
        <v>934179.77245677705</v>
      </c>
      <c r="I37" s="4">
        <v>117708.29799999901</v>
      </c>
      <c r="J37" s="1">
        <v>8.6929283719256095E-2</v>
      </c>
      <c r="K37" s="1">
        <v>9.5676291235030395E-2</v>
      </c>
      <c r="L37" s="1">
        <v>2.1929387301677698E-2</v>
      </c>
      <c r="M37" s="1">
        <v>1.6000000000000001E-3</v>
      </c>
      <c r="N37" s="1">
        <v>1.35E-2</v>
      </c>
      <c r="O37" s="1">
        <v>1.9047619047607401E-4</v>
      </c>
      <c r="P37" s="1">
        <v>1.1104328339832501</v>
      </c>
      <c r="Q37" s="1">
        <v>0.56155598020994102</v>
      </c>
      <c r="R37" s="1">
        <v>0.28910916881506998</v>
      </c>
      <c r="S37" s="1">
        <v>0.15854188883391099</v>
      </c>
      <c r="T37" s="1">
        <v>0.13101145970539299</v>
      </c>
      <c r="U37" s="1">
        <v>1.24521646178514</v>
      </c>
      <c r="V37" s="1">
        <v>1.73206709501306E-3</v>
      </c>
      <c r="W37" s="1">
        <v>1.28990253128347E-3</v>
      </c>
    </row>
    <row r="38" spans="1:23" x14ac:dyDescent="0.25">
      <c r="A38" s="3">
        <v>44227</v>
      </c>
      <c r="B38" s="4">
        <v>1106480.8520148799</v>
      </c>
      <c r="C38" s="4">
        <v>1431588.0745999999</v>
      </c>
      <c r="D38" s="4">
        <v>4459.9603410538102</v>
      </c>
      <c r="E38" s="4">
        <v>4518.7</v>
      </c>
      <c r="F38" s="4">
        <v>17498.75</v>
      </c>
      <c r="G38" s="4">
        <v>1441.8800000000299</v>
      </c>
      <c r="H38" s="4">
        <v>935621.65245677705</v>
      </c>
      <c r="I38" s="4">
        <v>-41631.675399999898</v>
      </c>
      <c r="J38" s="1">
        <v>-2.82589718200561E-2</v>
      </c>
      <c r="K38" s="1">
        <v>-2.7651584999916101E-2</v>
      </c>
      <c r="L38" s="1">
        <v>3.2402487674858499E-3</v>
      </c>
      <c r="M38" s="1">
        <v>1.5E-3</v>
      </c>
      <c r="N38" s="1">
        <v>2.5000000000000001E-3</v>
      </c>
      <c r="O38" s="1">
        <v>4.7419539135402797E-2</v>
      </c>
      <c r="P38" s="1">
        <v>1.0507941719995999</v>
      </c>
      <c r="Q38" s="1">
        <v>0.51837648229103805</v>
      </c>
      <c r="R38" s="1">
        <v>0.29328620321047699</v>
      </c>
      <c r="S38" s="1">
        <v>0.16027970166716199</v>
      </c>
      <c r="T38" s="1">
        <v>0.13383898835465599</v>
      </c>
      <c r="U38" s="1">
        <v>1.3516835916622101</v>
      </c>
      <c r="V38" s="1">
        <v>4.0838483483663698E-3</v>
      </c>
      <c r="W38" s="1">
        <v>3.1564247287143399E-3</v>
      </c>
    </row>
    <row r="39" spans="1:23" x14ac:dyDescent="0.25">
      <c r="A39" s="3">
        <v>44255</v>
      </c>
      <c r="B39" s="4">
        <v>1209692.9445038899</v>
      </c>
      <c r="C39" s="4">
        <v>1497373.9565999999</v>
      </c>
      <c r="D39" s="4">
        <v>17153.802489014601</v>
      </c>
      <c r="E39" s="4">
        <v>1619.46</v>
      </c>
      <c r="F39" s="4">
        <v>94761.62</v>
      </c>
      <c r="G39" s="4">
        <v>84438.8299999999</v>
      </c>
      <c r="H39" s="4">
        <v>1020060.48245677</v>
      </c>
      <c r="I39" s="4">
        <v>-18652.947999999898</v>
      </c>
      <c r="J39" s="1">
        <v>-1.2303837051573599E-2</v>
      </c>
      <c r="K39" s="1">
        <v>-5.1479652089959999E-2</v>
      </c>
      <c r="L39" s="1">
        <v>2.45880289638655E-3</v>
      </c>
      <c r="M39" s="1">
        <v>1.2999999999999999E-3</v>
      </c>
      <c r="N39" s="1">
        <v>8.6E-3</v>
      </c>
      <c r="O39" s="1">
        <v>0.05</v>
      </c>
      <c r="P39" s="1">
        <v>1.0255615346810001</v>
      </c>
      <c r="Q39" s="1">
        <v>0.44021098924111801</v>
      </c>
      <c r="R39" s="1">
        <v>0.29646613907278802</v>
      </c>
      <c r="S39" s="1">
        <v>0.16178806527933001</v>
      </c>
      <c r="T39" s="1">
        <v>0.143590003654506</v>
      </c>
      <c r="U39" s="1">
        <v>1.4692677712453199</v>
      </c>
      <c r="V39" s="1">
        <v>1.33873641849184E-3</v>
      </c>
      <c r="W39" s="1">
        <v>1.0815334358273501E-3</v>
      </c>
    </row>
    <row r="40" spans="1:23" x14ac:dyDescent="0.25">
      <c r="A40" s="3">
        <v>44286</v>
      </c>
      <c r="B40" s="4">
        <v>1241154.45234672</v>
      </c>
      <c r="C40" s="4">
        <v>1601678.6329999999</v>
      </c>
      <c r="D40" s="4">
        <v>14991.607842825801</v>
      </c>
      <c r="E40" s="4">
        <v>7305.7023529411699</v>
      </c>
      <c r="F40" s="4">
        <v>30916</v>
      </c>
      <c r="G40" s="4">
        <v>9164.1976470584395</v>
      </c>
      <c r="H40" s="4">
        <v>1029224.6801038299</v>
      </c>
      <c r="I40" s="4">
        <v>95140.478752941504</v>
      </c>
      <c r="J40" s="1">
        <v>6.3151722035537303E-2</v>
      </c>
      <c r="K40" s="1">
        <v>5.9971827145908201E-2</v>
      </c>
      <c r="L40" s="1">
        <v>-1.37743241885586E-2</v>
      </c>
      <c r="M40" s="1">
        <v>2E-3</v>
      </c>
      <c r="N40" s="1">
        <v>9.2999999999999992E-3</v>
      </c>
      <c r="O40" s="1">
        <v>5.2813852813852799E-2</v>
      </c>
      <c r="P40" s="1">
        <v>1.1534792336850499</v>
      </c>
      <c r="Q40" s="1">
        <v>0.52658307374152402</v>
      </c>
      <c r="R40" s="1">
        <v>0.27860819417371102</v>
      </c>
      <c r="S40" s="1">
        <v>0.16411164140988799</v>
      </c>
      <c r="T40" s="1">
        <v>0.154225390688493</v>
      </c>
      <c r="U40" s="1">
        <v>1.59967931587386</v>
      </c>
      <c r="V40" s="1">
        <v>5.8862153208473402E-3</v>
      </c>
      <c r="W40" s="1">
        <v>4.5612785251791304E-3</v>
      </c>
    </row>
    <row r="41" spans="1:23" x14ac:dyDescent="0.25">
      <c r="A41" s="3">
        <v>44316</v>
      </c>
      <c r="B41" s="4">
        <v>1270511.03617296</v>
      </c>
      <c r="C41" s="4">
        <v>1698168.55458457</v>
      </c>
      <c r="D41" s="4">
        <v>11242.8163034887</v>
      </c>
      <c r="E41" s="4">
        <v>10573.50333075</v>
      </c>
      <c r="F41" s="4">
        <v>35009.660000000003</v>
      </c>
      <c r="G41" s="4">
        <v>7540.2641920002497</v>
      </c>
      <c r="H41" s="4">
        <v>1036764.94429583</v>
      </c>
      <c r="I41" s="4">
        <v>88949.657392579596</v>
      </c>
      <c r="J41" s="1">
        <v>5.52750514847868E-2</v>
      </c>
      <c r="K41" s="1">
        <v>1.9376854090573801E-2</v>
      </c>
      <c r="L41" s="1">
        <v>5.0513388858250902E-3</v>
      </c>
      <c r="M41" s="1">
        <v>2.0999999999999999E-3</v>
      </c>
      <c r="N41" s="1">
        <v>3.0999999999999999E-3</v>
      </c>
      <c r="O41" s="1">
        <v>1.5625E-2</v>
      </c>
      <c r="P41" s="1">
        <v>1.27251290919841</v>
      </c>
      <c r="Q41" s="1">
        <v>0.55616345121855304</v>
      </c>
      <c r="R41" s="1">
        <v>0.28506687746467502</v>
      </c>
      <c r="S41" s="1">
        <v>0.16655627585684901</v>
      </c>
      <c r="T41" s="1">
        <v>0.15780348939962799</v>
      </c>
      <c r="U41" s="1">
        <v>1.6402993051843899</v>
      </c>
      <c r="V41" s="1">
        <v>8.3222443801822792E-3</v>
      </c>
      <c r="W41" s="1">
        <v>6.2264156889517801E-3</v>
      </c>
    </row>
    <row r="42" spans="1:23" x14ac:dyDescent="0.25">
      <c r="A42" s="3">
        <v>44347</v>
      </c>
      <c r="B42" s="4">
        <v>1289414.5043468699</v>
      </c>
      <c r="C42" s="4">
        <v>1763359.66656772</v>
      </c>
      <c r="D42" s="4">
        <v>12014.038173913001</v>
      </c>
      <c r="E42" s="4">
        <v>11060.1</v>
      </c>
      <c r="F42" s="4">
        <v>20281</v>
      </c>
      <c r="G42" s="4">
        <v>-4170.66999999985</v>
      </c>
      <c r="H42" s="4">
        <v>1032594.2742958301</v>
      </c>
      <c r="I42" s="4">
        <v>69361.781983144698</v>
      </c>
      <c r="J42" s="1">
        <v>4.0845051450215199E-2</v>
      </c>
      <c r="K42" s="1">
        <v>6.1584268339865703E-2</v>
      </c>
      <c r="L42" s="1">
        <v>-1.56195935200881E-2</v>
      </c>
      <c r="M42" s="1">
        <v>2.7000000000000001E-3</v>
      </c>
      <c r="N42" s="1">
        <v>8.3000000000000001E-3</v>
      </c>
      <c r="O42" s="1">
        <v>-3.6437246963562701E-2</v>
      </c>
      <c r="P42" s="1">
        <v>1.3653338158959001</v>
      </c>
      <c r="Q42" s="1">
        <v>0.65199863877908804</v>
      </c>
      <c r="R42" s="1">
        <v>0.264994655192548</v>
      </c>
      <c r="S42" s="1">
        <v>0.16970597780166299</v>
      </c>
      <c r="T42" s="1">
        <v>0.167413258361645</v>
      </c>
      <c r="U42" s="1">
        <v>1.5440940673436601</v>
      </c>
      <c r="V42" s="1">
        <v>8.5776140742284002E-3</v>
      </c>
      <c r="W42" s="1">
        <v>6.2721747637155701E-3</v>
      </c>
    </row>
    <row r="43" spans="1:23" x14ac:dyDescent="0.25">
      <c r="A43" s="3">
        <v>44377</v>
      </c>
      <c r="B43" s="4">
        <v>1355297.7302768701</v>
      </c>
      <c r="C43" s="4">
        <v>1827382.4061159501</v>
      </c>
      <c r="D43" s="4">
        <v>14632.0492879999</v>
      </c>
      <c r="E43" s="4">
        <v>7102.3817647058804</v>
      </c>
      <c r="F43" s="4">
        <v>36518.049959999997</v>
      </c>
      <c r="G43" s="4">
        <v>44148.794877294</v>
      </c>
      <c r="H43" s="4">
        <v>1076743.06917313</v>
      </c>
      <c r="I43" s="4">
        <v>19873.944670931302</v>
      </c>
      <c r="J43" s="1">
        <v>1.09952152893619E-2</v>
      </c>
      <c r="K43" s="1">
        <v>4.6428345059263904E-3</v>
      </c>
      <c r="L43" s="1">
        <v>-2.1860775583533901E-2</v>
      </c>
      <c r="M43" s="1">
        <v>3.0999999999999999E-3</v>
      </c>
      <c r="N43" s="1">
        <v>5.3E-3</v>
      </c>
      <c r="O43" s="1">
        <v>-2.3109243697479E-2</v>
      </c>
      <c r="P43" s="1">
        <v>1.39134117043288</v>
      </c>
      <c r="Q43" s="1">
        <v>0.65966859506295505</v>
      </c>
      <c r="R43" s="1">
        <v>0.23734089092101401</v>
      </c>
      <c r="S43" s="1">
        <v>0.17333206633284801</v>
      </c>
      <c r="T43" s="1">
        <v>0.173600548630961</v>
      </c>
      <c r="U43" s="1">
        <v>1.4853019775521099</v>
      </c>
      <c r="V43" s="1">
        <v>5.2404586874464304E-3</v>
      </c>
      <c r="W43" s="1">
        <v>3.88664230373203E-3</v>
      </c>
    </row>
    <row r="44" spans="1:23" x14ac:dyDescent="0.25">
      <c r="A44" s="3">
        <v>44408</v>
      </c>
      <c r="B44" s="4">
        <v>1344089.06462531</v>
      </c>
      <c r="C44" s="4">
        <v>1752800.4222886099</v>
      </c>
      <c r="D44" s="4">
        <v>16187.1643484329</v>
      </c>
      <c r="E44" s="4">
        <v>3852.3799999999901</v>
      </c>
      <c r="F44" s="4">
        <v>70415.039999999994</v>
      </c>
      <c r="G44" s="4">
        <v>-31248.209999995801</v>
      </c>
      <c r="H44" s="4">
        <v>1045494.85917313</v>
      </c>
      <c r="I44" s="4">
        <v>-43333.7738273371</v>
      </c>
      <c r="J44" s="1">
        <v>-2.3713577236108799E-2</v>
      </c>
      <c r="K44" s="1">
        <v>-3.9439441018280397E-2</v>
      </c>
      <c r="L44" s="1">
        <v>2.5129859994409798E-2</v>
      </c>
      <c r="M44" s="1">
        <v>3.5999999999999999E-3</v>
      </c>
      <c r="N44" s="1">
        <v>9.5999999999999992E-3</v>
      </c>
      <c r="O44" s="1">
        <v>7.6774193548386896E-2</v>
      </c>
      <c r="P44" s="1">
        <v>1.3346339168899299</v>
      </c>
      <c r="Q44" s="1">
        <v>0.59421219339807696</v>
      </c>
      <c r="R44" s="1">
        <v>0.268435094275217</v>
      </c>
      <c r="S44" s="1">
        <v>0.17755606177164601</v>
      </c>
      <c r="T44" s="1">
        <v>0.18486711389781901</v>
      </c>
      <c r="U44" s="1">
        <v>1.67610903260288</v>
      </c>
      <c r="V44" s="1">
        <v>2.86616423077135E-3</v>
      </c>
      <c r="W44" s="1">
        <v>2.1978429209698401E-3</v>
      </c>
    </row>
    <row r="45" spans="1:23" x14ac:dyDescent="0.25">
      <c r="A45" s="3">
        <v>44439</v>
      </c>
      <c r="B45" s="4">
        <v>1377758.2754965499</v>
      </c>
      <c r="C45" s="4">
        <v>1784088.81587947</v>
      </c>
      <c r="D45" s="4">
        <v>13435.4508712437</v>
      </c>
      <c r="E45" s="4">
        <v>11894.18</v>
      </c>
      <c r="F45" s="4">
        <v>47646.720000000001</v>
      </c>
      <c r="G45" s="4">
        <v>8339.5800000003401</v>
      </c>
      <c r="H45" s="4">
        <v>1053834.4391731301</v>
      </c>
      <c r="I45" s="4">
        <v>22948.813590855501</v>
      </c>
      <c r="J45" s="1">
        <v>1.30306583014601E-2</v>
      </c>
      <c r="K45" s="1">
        <v>-2.4794541916732998E-2</v>
      </c>
      <c r="L45" s="1">
        <v>-2.63019984986472E-2</v>
      </c>
      <c r="M45" s="1">
        <v>4.3E-3</v>
      </c>
      <c r="N45" s="1">
        <v>8.6999999999999994E-3</v>
      </c>
      <c r="O45" s="1">
        <v>1.4579588575993599E-2</v>
      </c>
      <c r="P45" s="1">
        <v>1.3650557337199201</v>
      </c>
      <c r="Q45" s="1">
        <v>0.55468443234470199</v>
      </c>
      <c r="R45" s="1">
        <v>0.23507271632995899</v>
      </c>
      <c r="S45" s="1">
        <v>0.182619552837264</v>
      </c>
      <c r="T45" s="1">
        <v>0.19517545778872999</v>
      </c>
      <c r="U45" s="1">
        <v>1.7151256012827301</v>
      </c>
      <c r="V45" s="1">
        <v>8.6329947796635297E-3</v>
      </c>
      <c r="W45" s="1">
        <v>6.6668093505965502E-3</v>
      </c>
    </row>
    <row r="46" spans="1:23" x14ac:dyDescent="0.25">
      <c r="A46" s="3">
        <v>44469</v>
      </c>
      <c r="B46" s="4">
        <v>1427805.4016114301</v>
      </c>
      <c r="C46" s="4">
        <v>1705325.1655426</v>
      </c>
      <c r="D46" s="4">
        <v>22998.0156781644</v>
      </c>
      <c r="E46" s="4">
        <v>10033.91</v>
      </c>
      <c r="F46" s="4">
        <v>74984.429999999993</v>
      </c>
      <c r="G46" s="4">
        <v>17015.200436715299</v>
      </c>
      <c r="H46" s="4">
        <v>1070849.63960984</v>
      </c>
      <c r="I46" s="4">
        <v>-95778.850773587794</v>
      </c>
      <c r="J46" s="1">
        <v>-5.31778564180235E-2</v>
      </c>
      <c r="K46" s="1">
        <v>-6.5683905675150006E-2</v>
      </c>
      <c r="L46" s="1">
        <v>-1.24261775230558E-2</v>
      </c>
      <c r="M46" s="1">
        <v>4.4000000000000003E-3</v>
      </c>
      <c r="N46" s="1">
        <v>1.1599999999999999E-2</v>
      </c>
      <c r="O46" s="1">
        <v>3.9370078740157402E-3</v>
      </c>
      <c r="P46" s="1">
        <v>1.2392871394915399</v>
      </c>
      <c r="Q46" s="1">
        <v>0.45256668673594802</v>
      </c>
      <c r="R46" s="1">
        <v>0.21972548350296001</v>
      </c>
      <c r="S46" s="1">
        <v>0.187823078869748</v>
      </c>
      <c r="T46" s="1">
        <v>0.20903949309907899</v>
      </c>
      <c r="U46" s="1">
        <v>1.72581507215392</v>
      </c>
      <c r="V46" s="1">
        <v>7.0275052809546899E-3</v>
      </c>
      <c r="W46" s="1">
        <v>5.8838690724460196E-3</v>
      </c>
    </row>
    <row r="47" spans="1:23" x14ac:dyDescent="0.25">
      <c r="A47" s="3">
        <v>44500</v>
      </c>
      <c r="B47" s="4">
        <v>1391064.2884364801</v>
      </c>
      <c r="C47" s="4">
        <v>1647287.9309982201</v>
      </c>
      <c r="D47" s="4">
        <v>-31541.2484149497</v>
      </c>
      <c r="E47" s="4">
        <v>1531.07</v>
      </c>
      <c r="F47" s="4">
        <v>42730.039999999899</v>
      </c>
      <c r="G47" s="4">
        <v>-6730.9347600000401</v>
      </c>
      <c r="H47" s="4">
        <v>1064118.7048498399</v>
      </c>
      <c r="I47" s="4">
        <v>-51306.2997843798</v>
      </c>
      <c r="J47" s="1">
        <v>-3.0085933651284001E-2</v>
      </c>
      <c r="K47" s="1">
        <v>-6.73821173375143E-2</v>
      </c>
      <c r="L47" s="1">
        <v>-1.4725647814351501E-2</v>
      </c>
      <c r="M47" s="1">
        <v>4.8999999999999998E-3</v>
      </c>
      <c r="N47" s="1">
        <v>1.2500000000000001E-2</v>
      </c>
      <c r="O47" s="1">
        <v>0.10980392156862701</v>
      </c>
      <c r="P47" s="1">
        <v>1.1719160951866301</v>
      </c>
      <c r="Q47" s="1">
        <v>0.35468966780974198</v>
      </c>
      <c r="R47" s="1">
        <v>0.20176423560270601</v>
      </c>
      <c r="S47" s="1">
        <v>0.19364341195620999</v>
      </c>
      <c r="T47" s="1">
        <v>0.22415248676281699</v>
      </c>
      <c r="U47" s="1">
        <v>2.0251202565473001</v>
      </c>
      <c r="V47" s="1">
        <v>1.1006464709987401E-3</v>
      </c>
      <c r="W47" s="1">
        <v>9.2944892704471197E-4</v>
      </c>
    </row>
    <row r="48" spans="1:23" x14ac:dyDescent="0.25">
      <c r="A48" s="3">
        <v>44530</v>
      </c>
      <c r="B48" s="4">
        <v>1462919.3931009499</v>
      </c>
      <c r="C48" s="4">
        <v>1685313.331676</v>
      </c>
      <c r="D48" s="4">
        <v>2126.6549859462598</v>
      </c>
      <c r="E48" s="4">
        <v>11189.67</v>
      </c>
      <c r="F48" s="4">
        <v>25602.91</v>
      </c>
      <c r="G48" s="4">
        <v>58538.779678523497</v>
      </c>
      <c r="H48" s="4">
        <v>1122657.48452837</v>
      </c>
      <c r="I48" s="4">
        <v>-20513.379000737299</v>
      </c>
      <c r="J48" s="1">
        <v>-1.2025476487350299E-2</v>
      </c>
      <c r="K48" s="1">
        <v>-1.5323523444217901E-2</v>
      </c>
      <c r="L48" s="1">
        <v>-5.0140517725867799E-2</v>
      </c>
      <c r="M48" s="1">
        <v>5.8999999999999999E-3</v>
      </c>
      <c r="N48" s="1">
        <v>9.4999999999999998E-3</v>
      </c>
      <c r="O48" s="1">
        <v>-8.6572438162543196E-3</v>
      </c>
      <c r="P48" s="1">
        <v>1.14579776925146</v>
      </c>
      <c r="Q48" s="1">
        <v>0.33393104892541903</v>
      </c>
      <c r="R48" s="1">
        <v>0.14150715464515401</v>
      </c>
      <c r="S48" s="1">
        <v>0.20068590808675199</v>
      </c>
      <c r="T48" s="1">
        <v>0.23578193538706399</v>
      </c>
      <c r="U48" s="1">
        <v>1.9989310529128801</v>
      </c>
      <c r="V48" s="1">
        <v>7.6488629877830804E-3</v>
      </c>
      <c r="W48" s="1">
        <v>6.6395190672776001E-3</v>
      </c>
    </row>
    <row r="49" spans="1:23" x14ac:dyDescent="0.25">
      <c r="A49" s="3">
        <v>44561</v>
      </c>
      <c r="B49" s="4">
        <v>1494141.56804095</v>
      </c>
      <c r="C49" s="4">
        <v>1743743.5592215401</v>
      </c>
      <c r="D49" s="4">
        <v>0</v>
      </c>
      <c r="E49" s="4">
        <v>27596.786704705799</v>
      </c>
      <c r="F49" s="4">
        <v>0</v>
      </c>
      <c r="G49" s="4">
        <v>3625.3882352916098</v>
      </c>
      <c r="H49" s="4">
        <v>1126282.87276366</v>
      </c>
      <c r="I49" s="4">
        <v>54804.839310249801</v>
      </c>
      <c r="J49" s="1">
        <v>3.2449276379386799E-2</v>
      </c>
      <c r="K49" s="1">
        <v>2.8523769808173501E-2</v>
      </c>
      <c r="L49" s="1">
        <v>0.103670236096485</v>
      </c>
      <c r="M49" s="1">
        <v>7.7000000000000002E-3</v>
      </c>
      <c r="N49" s="1">
        <v>7.3000000000000001E-3</v>
      </c>
      <c r="O49" s="1">
        <v>4.6373195508821997E-2</v>
      </c>
      <c r="P49" s="1">
        <v>1.2154273541201699</v>
      </c>
      <c r="Q49" s="1">
        <v>0.371979791104944</v>
      </c>
      <c r="R49" s="1">
        <v>0.25984747087304499</v>
      </c>
      <c r="S49" s="1">
        <v>0.20993118957901999</v>
      </c>
      <c r="T49" s="1">
        <v>0.24480314351539001</v>
      </c>
      <c r="U49" s="1">
        <v>2.1380010689470801</v>
      </c>
      <c r="V49" s="1">
        <v>1.8469994607598898E-2</v>
      </c>
      <c r="W49" s="1">
        <v>1.58261726953852E-2</v>
      </c>
    </row>
    <row r="50" spans="1:23" x14ac:dyDescent="0.25">
      <c r="A50" s="3">
        <v>44592</v>
      </c>
      <c r="B50" s="4">
        <v>1477173.3876352101</v>
      </c>
      <c r="C50" s="4">
        <v>1792260.04990775</v>
      </c>
      <c r="D50" s="4">
        <v>8256.0295951082499</v>
      </c>
      <c r="E50" s="4">
        <v>3798.96</v>
      </c>
      <c r="F50" s="4">
        <v>39396</v>
      </c>
      <c r="G50" s="4">
        <v>-29023.170000845599</v>
      </c>
      <c r="H50" s="4">
        <v>1097259.70276281</v>
      </c>
      <c r="I50" s="4">
        <v>77539.660687048905</v>
      </c>
      <c r="J50" s="1">
        <v>4.44673531707062E-2</v>
      </c>
      <c r="K50" s="1">
        <v>7.2179504302531894E-2</v>
      </c>
      <c r="L50" s="1">
        <v>-1.00107230392156E-2</v>
      </c>
      <c r="M50" s="1">
        <v>7.3000000000000001E-3</v>
      </c>
      <c r="N50" s="1">
        <v>5.4000000000000003E-3</v>
      </c>
      <c r="O50" s="1">
        <v>-0.112958168687832</v>
      </c>
      <c r="P50" s="1">
        <v>1.3139415446998799</v>
      </c>
      <c r="Q50" s="1">
        <v>0.47100861233998997</v>
      </c>
      <c r="R50" s="1">
        <v>0.24723548677047899</v>
      </c>
      <c r="S50" s="1">
        <v>0.21876368726294701</v>
      </c>
      <c r="T50" s="1">
        <v>0.25152508049037298</v>
      </c>
      <c r="U50" s="1">
        <v>1.7835382148583601</v>
      </c>
      <c r="V50" s="1">
        <v>2.5717766321810701E-3</v>
      </c>
      <c r="W50" s="1">
        <v>2.11964775993056E-3</v>
      </c>
    </row>
    <row r="51" spans="1:23" x14ac:dyDescent="0.25">
      <c r="A51" s="3">
        <v>44620</v>
      </c>
      <c r="B51" s="4">
        <v>1477637.74516898</v>
      </c>
      <c r="C51" s="4">
        <v>1801571.4476131401</v>
      </c>
      <c r="D51" s="4">
        <v>5007.6385087818198</v>
      </c>
      <c r="E51" s="4">
        <v>4708.25</v>
      </c>
      <c r="F51" s="4">
        <v>14502.97</v>
      </c>
      <c r="G51" s="4">
        <v>-9251.5309750093402</v>
      </c>
      <c r="H51" s="4">
        <v>1088008.17178781</v>
      </c>
      <c r="I51" s="4">
        <v>18562.928680401699</v>
      </c>
      <c r="J51" s="1">
        <v>1.03572741474415E-2</v>
      </c>
      <c r="K51" s="1">
        <v>6.7089013061891701E-3</v>
      </c>
      <c r="L51" s="1">
        <v>-1.2881185103493301E-2</v>
      </c>
      <c r="M51" s="1">
        <v>7.6E-3</v>
      </c>
      <c r="N51" s="1">
        <v>1.01E-2</v>
      </c>
      <c r="O51" s="1">
        <v>-5.7219662058371597E-2</v>
      </c>
      <c r="P51" s="1">
        <v>1.33790767163949</v>
      </c>
      <c r="Q51" s="1">
        <v>0.480877463940733</v>
      </c>
      <c r="R51" s="1">
        <v>0.23116961559774199</v>
      </c>
      <c r="S51" s="1">
        <v>0.22802629128614499</v>
      </c>
      <c r="T51" s="1">
        <v>0.264165483803326</v>
      </c>
      <c r="U51" s="1">
        <v>1.6242650988776</v>
      </c>
      <c r="V51" s="1">
        <v>3.18633576828503E-3</v>
      </c>
      <c r="W51" s="1">
        <v>2.6134128658831901E-3</v>
      </c>
    </row>
    <row r="52" spans="1:23" x14ac:dyDescent="0.25">
      <c r="A52" s="3">
        <v>44651</v>
      </c>
      <c r="B52" s="4">
        <v>1532156.0121963699</v>
      </c>
      <c r="C52" s="4">
        <v>1877884.42969131</v>
      </c>
      <c r="D52" s="4">
        <v>82255.603694052494</v>
      </c>
      <c r="E52" s="4">
        <v>10417.789999999901</v>
      </c>
      <c r="F52" s="4">
        <v>236763.18666666601</v>
      </c>
      <c r="G52" s="4">
        <v>-38155.126666669603</v>
      </c>
      <c r="H52" s="4">
        <v>1049853.0451211401</v>
      </c>
      <c r="I52" s="4">
        <v>114468.10874483699</v>
      </c>
      <c r="J52" s="1">
        <v>6.3537923459262499E-2</v>
      </c>
      <c r="K52" s="1">
        <v>6.0605257110533703E-2</v>
      </c>
      <c r="L52" s="1">
        <v>1.4161964774776801E-2</v>
      </c>
      <c r="M52" s="1">
        <v>9.2999999999999992E-3</v>
      </c>
      <c r="N52" s="1">
        <v>1.6199999999999999E-2</v>
      </c>
      <c r="O52" s="1">
        <v>-4.0122199592668002E-2</v>
      </c>
      <c r="P52" s="1">
        <v>1.4864534703349399</v>
      </c>
      <c r="Q52" s="1">
        <v>0.57062642339205705</v>
      </c>
      <c r="R52" s="1">
        <v>0.24860539632561299</v>
      </c>
      <c r="S52" s="1">
        <v>0.23944693579510601</v>
      </c>
      <c r="T52" s="1">
        <v>0.28464496464094002</v>
      </c>
      <c r="U52" s="1">
        <v>1.51897381079636</v>
      </c>
      <c r="V52" s="1">
        <v>6.7994315964377003E-3</v>
      </c>
      <c r="W52" s="1">
        <v>5.5476204154440304E-3</v>
      </c>
    </row>
    <row r="53" spans="1:23" x14ac:dyDescent="0.25">
      <c r="A53" s="3">
        <v>44681</v>
      </c>
      <c r="B53" s="4">
        <v>1523963.4576602001</v>
      </c>
      <c r="C53" s="4">
        <v>1756573.2307746599</v>
      </c>
      <c r="D53" s="4">
        <v>-4910.13</v>
      </c>
      <c r="E53" s="4">
        <v>4163.68</v>
      </c>
      <c r="F53" s="4">
        <v>0</v>
      </c>
      <c r="G53" s="4">
        <v>-7446.1045361677598</v>
      </c>
      <c r="H53" s="4">
        <v>1042406.9405849701</v>
      </c>
      <c r="I53" s="4">
        <v>-113865.09438047701</v>
      </c>
      <c r="J53" s="1">
        <v>-6.0634772076572897E-2</v>
      </c>
      <c r="K53" s="1">
        <v>-0.10102584188201499</v>
      </c>
      <c r="L53" s="1">
        <v>1.1903037888663001E-2</v>
      </c>
      <c r="M53" s="1">
        <v>8.3000000000000001E-3</v>
      </c>
      <c r="N53" s="1">
        <v>1.06E-2</v>
      </c>
      <c r="O53" s="1">
        <v>-4.9013367281985999E-2</v>
      </c>
      <c r="P53" s="1">
        <v>1.3356879308821801</v>
      </c>
      <c r="Q53" s="1">
        <v>0.41195256668673502</v>
      </c>
      <c r="R53" s="1">
        <v>0.26346759366606598</v>
      </c>
      <c r="S53" s="1">
        <v>0.24973434536220601</v>
      </c>
      <c r="T53" s="1">
        <v>0.29826220126613401</v>
      </c>
      <c r="U53" s="1">
        <v>1.3955104222340899</v>
      </c>
      <c r="V53" s="1">
        <v>2.7321390018056201E-3</v>
      </c>
      <c r="W53" s="1">
        <v>2.3703423956675999E-3</v>
      </c>
    </row>
    <row r="54" spans="1:23" x14ac:dyDescent="0.25">
      <c r="A54" s="3">
        <v>44712</v>
      </c>
      <c r="B54" s="4">
        <v>1522771.6451481299</v>
      </c>
      <c r="C54" s="4">
        <v>1778749.5223371601</v>
      </c>
      <c r="D54" s="4">
        <v>-2597.9625120772798</v>
      </c>
      <c r="E54" s="4">
        <v>25296.4899999999</v>
      </c>
      <c r="F54" s="4">
        <v>75435.87</v>
      </c>
      <c r="G54" s="4">
        <v>-23890.3399999963</v>
      </c>
      <c r="H54" s="4">
        <v>1018516.60058497</v>
      </c>
      <c r="I54" s="4">
        <v>46066.631562491602</v>
      </c>
      <c r="J54" s="1">
        <v>2.6225283839817998E-2</v>
      </c>
      <c r="K54" s="1">
        <v>3.2212911120174902E-2</v>
      </c>
      <c r="L54" s="1">
        <v>2.62699424263956E-3</v>
      </c>
      <c r="M54" s="1">
        <v>1.03E-2</v>
      </c>
      <c r="N54" s="1">
        <v>4.6999999999999898E-3</v>
      </c>
      <c r="O54" s="1">
        <v>-4.2838018741633101E-2</v>
      </c>
      <c r="P54" s="1">
        <v>1.3969420098308001</v>
      </c>
      <c r="Q54" s="1">
        <v>0.45743566922331702</v>
      </c>
      <c r="R54" s="1">
        <v>0.26678671576038898</v>
      </c>
      <c r="S54" s="1">
        <v>0.26260660911943601</v>
      </c>
      <c r="T54" s="1">
        <v>0.30436403361208397</v>
      </c>
      <c r="U54" s="1">
        <v>1.2928915018706499</v>
      </c>
      <c r="V54" s="1">
        <v>1.6612136219241999E-2</v>
      </c>
      <c r="W54" s="1">
        <v>1.4221502062168901E-2</v>
      </c>
    </row>
    <row r="55" spans="1:23" x14ac:dyDescent="0.25">
      <c r="A55" s="3">
        <v>44742</v>
      </c>
      <c r="B55" s="4">
        <v>1547980.54267212</v>
      </c>
      <c r="C55" s="4">
        <v>1646211.4381961799</v>
      </c>
      <c r="D55" s="4">
        <v>-3709.58209759999</v>
      </c>
      <c r="E55" s="4">
        <v>12808.82</v>
      </c>
      <c r="F55" s="4">
        <v>28644</v>
      </c>
      <c r="G55" s="4">
        <v>16109.659621594499</v>
      </c>
      <c r="H55" s="4">
        <v>1034626.26020657</v>
      </c>
      <c r="I55" s="4">
        <v>-148647.74376256601</v>
      </c>
      <c r="J55" s="1">
        <v>-8.28186106501929E-2</v>
      </c>
      <c r="K55" s="1">
        <v>-0.11503264452048</v>
      </c>
      <c r="L55" s="1">
        <v>-8.8035010066597197E-3</v>
      </c>
      <c r="M55" s="1">
        <v>1.0200000000000001E-2</v>
      </c>
      <c r="N55" s="1">
        <v>6.7000000000000002E-3</v>
      </c>
      <c r="O55" s="1">
        <v>1.0256410256410199E-2</v>
      </c>
      <c r="P55" s="1">
        <v>1.19843060276754</v>
      </c>
      <c r="Q55" s="1">
        <v>0.28978298997408303</v>
      </c>
      <c r="R55" s="1">
        <v>0.255634557632969</v>
      </c>
      <c r="S55" s="1">
        <v>0.27548519653245401</v>
      </c>
      <c r="T55" s="1">
        <v>0.31310327263728499</v>
      </c>
      <c r="U55" s="1">
        <v>1.31640833778727</v>
      </c>
      <c r="V55" s="1">
        <v>8.2745355299423898E-3</v>
      </c>
      <c r="W55" s="1">
        <v>7.7807866613021802E-3</v>
      </c>
    </row>
    <row r="56" spans="1:23" x14ac:dyDescent="0.25">
      <c r="A56" s="3">
        <v>44773</v>
      </c>
      <c r="B56" s="4">
        <v>1613048.1724694299</v>
      </c>
      <c r="C56" s="4">
        <v>1781827.16303599</v>
      </c>
      <c r="D56" s="4">
        <v>7248.7699999999904</v>
      </c>
      <c r="E56" s="4">
        <v>10509.298999999901</v>
      </c>
      <c r="F56" s="4">
        <v>34675.620000000003</v>
      </c>
      <c r="G56" s="4">
        <v>47309.560797307298</v>
      </c>
      <c r="H56" s="4">
        <v>1081935.8210038701</v>
      </c>
      <c r="I56" s="4">
        <v>88306.164042496399</v>
      </c>
      <c r="J56" s="1">
        <v>5.2143530605749097E-2</v>
      </c>
      <c r="K56" s="1">
        <v>4.6914006210549697E-2</v>
      </c>
      <c r="L56" s="1">
        <v>6.6103331976812198E-3</v>
      </c>
      <c r="M56" s="1">
        <v>1.03E-2</v>
      </c>
      <c r="N56" s="1">
        <v>-6.7999999999999996E-3</v>
      </c>
      <c r="O56" s="1">
        <v>8.2141209044762395E-2</v>
      </c>
      <c r="P56" s="1">
        <v>1.3130645361875599</v>
      </c>
      <c r="Q56" s="1">
        <v>0.35029187717598897</v>
      </c>
      <c r="R56" s="1">
        <v>0.26393472043344601</v>
      </c>
      <c r="S56" s="1">
        <v>0.28862269405673902</v>
      </c>
      <c r="T56" s="1">
        <v>0.30417417038335198</v>
      </c>
      <c r="U56" s="1">
        <v>1.5066809192944901</v>
      </c>
      <c r="V56" s="1">
        <v>6.5151798807788798E-3</v>
      </c>
      <c r="W56" s="1">
        <v>5.8980462404072702E-3</v>
      </c>
    </row>
    <row r="57" spans="1:23" x14ac:dyDescent="0.25">
      <c r="A57" s="3">
        <v>44804</v>
      </c>
      <c r="B57" s="4">
        <v>1634652.43740699</v>
      </c>
      <c r="C57" s="4">
        <v>1866818.1836622001</v>
      </c>
      <c r="D57" s="4">
        <v>4997.4835266509399</v>
      </c>
      <c r="E57" s="4">
        <v>25335.749999999902</v>
      </c>
      <c r="F57" s="4">
        <v>22510.22</v>
      </c>
      <c r="G57" s="4">
        <v>-8728.9685890859801</v>
      </c>
      <c r="H57" s="4">
        <v>1073206.8524147901</v>
      </c>
      <c r="I57" s="4">
        <v>93719.989215299996</v>
      </c>
      <c r="J57" s="1">
        <v>5.2597688013473698E-2</v>
      </c>
      <c r="K57" s="1">
        <v>6.1629428585276001E-2</v>
      </c>
      <c r="L57" s="1">
        <v>5.7613402930312099E-2</v>
      </c>
      <c r="M57" s="1">
        <v>1.16999999999999E-2</v>
      </c>
      <c r="N57" s="1">
        <v>-3.5999999999999999E-3</v>
      </c>
      <c r="O57" s="1">
        <v>-3.6247334754797397E-2</v>
      </c>
      <c r="P57" s="1">
        <v>1.4347263830169801</v>
      </c>
      <c r="Q57" s="1">
        <v>0.43350959398968503</v>
      </c>
      <c r="R57" s="1">
        <v>0.33675430075939</v>
      </c>
      <c r="S57" s="1">
        <v>0.303699579577203</v>
      </c>
      <c r="T57" s="1">
        <v>0.299479143369971</v>
      </c>
      <c r="U57" s="1">
        <v>1.41582041688936</v>
      </c>
      <c r="V57" s="1">
        <v>1.5499166318308799E-2</v>
      </c>
      <c r="W57" s="1">
        <v>1.35716216082156E-2</v>
      </c>
    </row>
    <row r="58" spans="1:23" x14ac:dyDescent="0.25">
      <c r="A58" s="3">
        <v>44834</v>
      </c>
      <c r="B58" s="4">
        <v>1645545.0447416899</v>
      </c>
      <c r="C58" s="4">
        <v>1825437.44798342</v>
      </c>
      <c r="D58" s="4">
        <v>16832.2473333333</v>
      </c>
      <c r="E58" s="4">
        <v>18775.439999999999</v>
      </c>
      <c r="F58" s="4">
        <v>37222</v>
      </c>
      <c r="G58" s="4">
        <v>-24715.079998637098</v>
      </c>
      <c r="H58" s="4">
        <v>1048491.77241615</v>
      </c>
      <c r="I58" s="4">
        <v>-16665.6556801437</v>
      </c>
      <c r="J58" s="1">
        <v>-8.9273052009007908E-3</v>
      </c>
      <c r="K58" s="1">
        <v>4.6930781662299897E-3</v>
      </c>
      <c r="L58" s="1">
        <v>4.8954779889289696E-3</v>
      </c>
      <c r="M58" s="1">
        <v>1.0699999999999999E-2</v>
      </c>
      <c r="N58" s="1">
        <v>-2.8999999999999998E-3</v>
      </c>
      <c r="O58" s="1">
        <v>-5.5309734513274297E-2</v>
      </c>
      <c r="P58" s="1">
        <v>1.4129908375151099</v>
      </c>
      <c r="Q58" s="1">
        <v>0.440237166566319</v>
      </c>
      <c r="R58" s="1">
        <v>0.34329835201536302</v>
      </c>
      <c r="S58" s="1">
        <v>0.31764916507867902</v>
      </c>
      <c r="T58" s="1">
        <v>0.29571065385419798</v>
      </c>
      <c r="U58" s="1">
        <v>1.28220203099946</v>
      </c>
      <c r="V58" s="1">
        <v>1.1409860860385699E-2</v>
      </c>
      <c r="W58" s="1">
        <v>1.0285446932592099E-2</v>
      </c>
    </row>
    <row r="59" spans="1:23" x14ac:dyDescent="0.25">
      <c r="A59" s="3">
        <v>44865</v>
      </c>
      <c r="B59" s="4">
        <v>1680298.43757985</v>
      </c>
      <c r="C59" s="4">
        <v>1941969.3208802899</v>
      </c>
      <c r="D59" s="4">
        <v>14344.8375</v>
      </c>
      <c r="E59" s="4">
        <v>1235.73</v>
      </c>
      <c r="F59" s="4">
        <v>35000</v>
      </c>
      <c r="G59" s="4">
        <v>19172.825338164599</v>
      </c>
      <c r="H59" s="4">
        <v>1067664.5977543099</v>
      </c>
      <c r="I59" s="4">
        <v>97359.047558705206</v>
      </c>
      <c r="J59" s="1">
        <v>5.2780280456418797E-2</v>
      </c>
      <c r="K59" s="1">
        <v>5.45271136072411E-2</v>
      </c>
      <c r="L59" s="1">
        <v>2.17300499244288E-4</v>
      </c>
      <c r="M59" s="1">
        <v>1.0200000000000001E-2</v>
      </c>
      <c r="N59" s="1">
        <v>5.8999999999999999E-3</v>
      </c>
      <c r="O59" s="1">
        <v>3.1569086651053797E-2</v>
      </c>
      <c r="P59" s="1">
        <v>1.54034917065792</v>
      </c>
      <c r="Q59" s="1">
        <v>0.51876914216905201</v>
      </c>
      <c r="R59" s="1">
        <v>0.34359025141789001</v>
      </c>
      <c r="S59" s="1">
        <v>0.33108918656248099</v>
      </c>
      <c r="T59" s="1">
        <v>0.30335534671193798</v>
      </c>
      <c r="U59" s="1">
        <v>1.3542490646712899</v>
      </c>
      <c r="V59" s="1">
        <v>7.3542292985752399E-4</v>
      </c>
      <c r="W59" s="1">
        <v>6.3632828114907702E-4</v>
      </c>
    </row>
    <row r="60" spans="1:23" x14ac:dyDescent="0.25">
      <c r="A60" s="3">
        <v>44895</v>
      </c>
      <c r="B60" s="4">
        <v>1601245.60237635</v>
      </c>
      <c r="C60" s="4">
        <v>1730022.2751124301</v>
      </c>
      <c r="D60" s="4">
        <v>11179.0756588967</v>
      </c>
      <c r="E60" s="4">
        <v>23381.209137599999</v>
      </c>
      <c r="F60" s="4">
        <v>145972.29</v>
      </c>
      <c r="G60" s="4">
        <v>-113613.12</v>
      </c>
      <c r="H60" s="4">
        <v>954051.47775431897</v>
      </c>
      <c r="I60" s="4">
        <v>-98333.925767861394</v>
      </c>
      <c r="J60" s="1">
        <v>-5.0636189104824002E-2</v>
      </c>
      <c r="K60" s="1">
        <v>-3.0602307884554002E-2</v>
      </c>
      <c r="L60" s="1">
        <v>-4.1531696087947198E-2</v>
      </c>
      <c r="M60" s="1">
        <v>1.0200000000000001E-2</v>
      </c>
      <c r="N60" s="1">
        <v>4.0999999999999899E-3</v>
      </c>
      <c r="O60" s="1">
        <v>5.9071921540138003E-2</v>
      </c>
      <c r="P60" s="1">
        <v>1.4117155696602</v>
      </c>
      <c r="Q60" s="1">
        <v>0.47229130127483399</v>
      </c>
      <c r="R60" s="1">
        <v>0.287788669429274</v>
      </c>
      <c r="S60" s="1">
        <v>0.344666296265418</v>
      </c>
      <c r="T60" s="1">
        <v>0.30869910363345698</v>
      </c>
      <c r="U60" s="1">
        <v>1.4933190807054999</v>
      </c>
      <c r="V60" s="1">
        <v>1.4601888119411899E-2</v>
      </c>
      <c r="W60" s="1">
        <v>1.3514975774563599E-2</v>
      </c>
    </row>
    <row r="61" spans="1:23" x14ac:dyDescent="0.25">
      <c r="A61" s="3">
        <v>44926</v>
      </c>
      <c r="B61" s="4">
        <v>1646001.35937635</v>
      </c>
      <c r="C61" s="4">
        <v>1733840.2345453</v>
      </c>
      <c r="D61" s="4">
        <v>11830.646999999901</v>
      </c>
      <c r="E61" s="4">
        <v>9649.3499999999894</v>
      </c>
      <c r="F61" s="4">
        <v>35735</v>
      </c>
      <c r="G61" s="4">
        <v>23275.7599999997</v>
      </c>
      <c r="H61" s="4">
        <v>977327.23775431898</v>
      </c>
      <c r="I61" s="4">
        <v>-19457.800567124901</v>
      </c>
      <c r="J61" s="1">
        <v>-1.10978283083954E-2</v>
      </c>
      <c r="K61" s="1">
        <v>-2.1824938214533299E-2</v>
      </c>
      <c r="L61" s="1">
        <v>-2.7928936524035301E-5</v>
      </c>
      <c r="M61" s="1">
        <v>1.12E-2</v>
      </c>
      <c r="N61" s="1">
        <v>6.1999999999999998E-3</v>
      </c>
      <c r="O61" s="1">
        <v>-3.53697749196141E-2</v>
      </c>
      <c r="P61" s="1">
        <v>1.3849507643394301</v>
      </c>
      <c r="Q61" s="1">
        <v>0.44015863459071602</v>
      </c>
      <c r="R61" s="1">
        <v>0.28775270286126903</v>
      </c>
      <c r="S61" s="1">
        <v>0.359726558783591</v>
      </c>
      <c r="T61" s="1">
        <v>0.31681303807598499</v>
      </c>
      <c r="U61" s="1">
        <v>1.40513094601817</v>
      </c>
      <c r="V61" s="1">
        <v>5.8622977101647003E-3</v>
      </c>
      <c r="W61" s="1">
        <v>5.5653051577329903E-3</v>
      </c>
    </row>
    <row r="62" spans="1:23" x14ac:dyDescent="0.25">
      <c r="A62" s="3">
        <v>44957</v>
      </c>
      <c r="B62" s="4">
        <v>1633754.5740968301</v>
      </c>
      <c r="C62" s="4">
        <v>1777059.1666948199</v>
      </c>
      <c r="D62" s="4">
        <v>12059.275037097899</v>
      </c>
      <c r="E62" s="4">
        <v>8878.34</v>
      </c>
      <c r="F62" s="4">
        <v>57754.368636582498</v>
      </c>
      <c r="G62" s="4">
        <v>-33184.400316615502</v>
      </c>
      <c r="H62" s="4">
        <v>944142.83743770397</v>
      </c>
      <c r="I62" s="4">
        <v>76403.332466134001</v>
      </c>
      <c r="J62" s="1">
        <v>4.4065958872023997E-2</v>
      </c>
      <c r="K62" s="1">
        <v>3.1818305750197701E-2</v>
      </c>
      <c r="L62" s="1">
        <v>-1.6040427924130601E-2</v>
      </c>
      <c r="M62" s="1">
        <v>1.12E-2</v>
      </c>
      <c r="N62" s="1">
        <v>5.3E-3</v>
      </c>
      <c r="O62" s="1">
        <v>1.42222222222221E-2</v>
      </c>
      <c r="P62" s="1">
        <v>1.4900459066326199</v>
      </c>
      <c r="Q62" s="1">
        <v>0.48598204235491099</v>
      </c>
      <c r="R62" s="1">
        <v>0.26709659844691902</v>
      </c>
      <c r="S62" s="1">
        <v>0.374955496241967</v>
      </c>
      <c r="T62" s="1">
        <v>0.32379214717778698</v>
      </c>
      <c r="U62" s="1">
        <v>1.43933725280598</v>
      </c>
      <c r="V62" s="1">
        <v>5.4343168434023001E-3</v>
      </c>
      <c r="W62" s="1">
        <v>4.99608576146225E-3</v>
      </c>
    </row>
    <row r="63" spans="1:23" x14ac:dyDescent="0.25">
      <c r="A63" s="3">
        <v>44985</v>
      </c>
      <c r="B63" s="4">
        <v>1673781.3943870501</v>
      </c>
      <c r="C63" s="4">
        <v>1694457.10881305</v>
      </c>
      <c r="D63" s="4">
        <v>6068.8905149176398</v>
      </c>
      <c r="E63" s="4">
        <v>2045.99</v>
      </c>
      <c r="F63" s="4">
        <v>49585.906307999998</v>
      </c>
      <c r="G63" s="4">
        <v>31911.939775303901</v>
      </c>
      <c r="H63" s="4">
        <v>976054.77721300698</v>
      </c>
      <c r="I63" s="4">
        <v>-114513.99765708001</v>
      </c>
      <c r="J63" s="1">
        <v>-6.3303386796781297E-2</v>
      </c>
      <c r="K63" s="1">
        <v>-7.5749568403621903E-2</v>
      </c>
      <c r="L63" s="1">
        <v>-4.5194497562997997E-3</v>
      </c>
      <c r="M63" s="1">
        <v>9.1999999999999998E-3</v>
      </c>
      <c r="N63" s="1">
        <v>8.3999999999999995E-3</v>
      </c>
      <c r="O63" s="1">
        <v>4.8203330411919999E-3</v>
      </c>
      <c r="P63" s="1">
        <v>1.3324175674633101</v>
      </c>
      <c r="Q63" s="1">
        <v>0.37341954399099397</v>
      </c>
      <c r="R63" s="1">
        <v>0.26137001903385898</v>
      </c>
      <c r="S63" s="1">
        <v>0.38760508680739397</v>
      </c>
      <c r="T63" s="1">
        <v>0.33491200121408099</v>
      </c>
      <c r="U63" s="1">
        <v>1.4510956707642899</v>
      </c>
      <c r="V63" s="1">
        <v>1.22237587707757E-3</v>
      </c>
      <c r="W63" s="1">
        <v>1.20746048357234E-3</v>
      </c>
    </row>
    <row r="64" spans="1:23" x14ac:dyDescent="0.25">
      <c r="A64" s="3">
        <v>45016</v>
      </c>
      <c r="B64" s="4">
        <v>1719145.8593870599</v>
      </c>
      <c r="C64" s="4">
        <v>1681568.27324695</v>
      </c>
      <c r="D64" s="4">
        <v>0</v>
      </c>
      <c r="E64" s="4">
        <v>12816.93</v>
      </c>
      <c r="F64" s="4">
        <v>0</v>
      </c>
      <c r="G64" s="4">
        <v>32547.5350000012</v>
      </c>
      <c r="H64" s="4">
        <v>1008602.312213</v>
      </c>
      <c r="I64" s="4">
        <v>-45436.370566100501</v>
      </c>
      <c r="J64" s="1">
        <v>-2.6309350544525201E-2</v>
      </c>
      <c r="K64" s="1">
        <v>-2.9066443029771599E-2</v>
      </c>
      <c r="L64" s="1">
        <v>-1.68886562958976E-2</v>
      </c>
      <c r="M64" s="1">
        <v>1.16999999999999E-2</v>
      </c>
      <c r="N64" s="1">
        <v>7.09999999999999E-3</v>
      </c>
      <c r="O64" s="1">
        <v>1.9624945486262902E-3</v>
      </c>
      <c r="P64" s="1">
        <v>1.2710531760647099</v>
      </c>
      <c r="Q64" s="1">
        <v>0.333499123059605</v>
      </c>
      <c r="R64" s="1">
        <v>0.240067174320447</v>
      </c>
      <c r="S64" s="1">
        <v>0.40384006632303998</v>
      </c>
      <c r="T64" s="1">
        <v>0.34438987642270102</v>
      </c>
      <c r="U64" s="1">
        <v>1.4559059326563299</v>
      </c>
      <c r="V64" s="1">
        <v>7.4554057935315096E-3</v>
      </c>
      <c r="W64" s="1">
        <v>7.62200988441087E-3</v>
      </c>
    </row>
    <row r="65" spans="1:23" x14ac:dyDescent="0.25">
      <c r="A65" s="3">
        <v>45046</v>
      </c>
      <c r="B65" s="4">
        <v>1701488.73716815</v>
      </c>
      <c r="C65" s="4">
        <v>1688241.41926523</v>
      </c>
      <c r="D65" s="4">
        <v>7849.2177811001102</v>
      </c>
      <c r="E65" s="4">
        <v>2846.58</v>
      </c>
      <c r="F65" s="4">
        <v>52550</v>
      </c>
      <c r="G65" s="4">
        <v>-28352.920000000198</v>
      </c>
      <c r="H65" s="4">
        <v>980249.39221300802</v>
      </c>
      <c r="I65" s="4">
        <v>35026.066018283404</v>
      </c>
      <c r="J65" s="1">
        <v>2.0829404654888601E-2</v>
      </c>
      <c r="K65" s="1">
        <v>2.5028955065664101E-2</v>
      </c>
      <c r="L65" s="1">
        <v>3.5230507108919097E-2</v>
      </c>
      <c r="M65" s="1">
        <v>9.1999999999999998E-3</v>
      </c>
      <c r="N65" s="1">
        <v>6.09999999999999E-3</v>
      </c>
      <c r="O65" s="1">
        <v>1.9624945486262902E-3</v>
      </c>
      <c r="P65" s="1">
        <v>1.31835786166173</v>
      </c>
      <c r="Q65" s="1">
        <v>0.36687521269076601</v>
      </c>
      <c r="R65" s="1">
        <v>0.283755369720881</v>
      </c>
      <c r="S65" s="1">
        <v>0.41675539493321301</v>
      </c>
      <c r="T65" s="1">
        <v>0.35259065466887901</v>
      </c>
      <c r="U65" s="1">
        <v>1.4607256346610999</v>
      </c>
      <c r="V65" s="1">
        <v>1.67299373649551E-3</v>
      </c>
      <c r="W65" s="1">
        <v>1.68612140865427E-3</v>
      </c>
    </row>
    <row r="66" spans="1:23" x14ac:dyDescent="0.25">
      <c r="A66" s="3">
        <v>45077</v>
      </c>
      <c r="B66" s="4">
        <v>1693907.4539135699</v>
      </c>
      <c r="C66" s="4">
        <v>1753024.2186064001</v>
      </c>
      <c r="D66" s="4">
        <v>3911.17981541786</v>
      </c>
      <c r="E66" s="4">
        <v>11598.71</v>
      </c>
      <c r="F66" s="4">
        <v>27960.007079999999</v>
      </c>
      <c r="G66" s="4">
        <v>-23091.173069999801</v>
      </c>
      <c r="H66" s="4">
        <v>957158.21914300905</v>
      </c>
      <c r="I66" s="4">
        <v>87873.972411172203</v>
      </c>
      <c r="J66" s="1">
        <v>5.2050596205261299E-2</v>
      </c>
      <c r="K66" s="1">
        <v>3.73736019610846E-2</v>
      </c>
      <c r="L66" s="1">
        <v>5.4309828645521398E-2</v>
      </c>
      <c r="M66" s="1">
        <v>1.12E-2</v>
      </c>
      <c r="N66" s="1">
        <v>2.3E-3</v>
      </c>
      <c r="O66" s="1">
        <v>1.52339499455931E-2</v>
      </c>
      <c r="P66" s="1">
        <v>1.4390297705783801</v>
      </c>
      <c r="Q66" s="1">
        <v>0.41796026282034399</v>
      </c>
      <c r="R66" s="1">
        <v>0.35347590387319</v>
      </c>
      <c r="S66" s="1">
        <v>0.432623055356465</v>
      </c>
      <c r="T66" s="1">
        <v>0.35570161317461801</v>
      </c>
      <c r="U66" s="1">
        <v>1.4982122058093701</v>
      </c>
      <c r="V66" s="1">
        <v>6.8473103257220497E-3</v>
      </c>
      <c r="W66" s="1">
        <v>6.6164003194551096E-3</v>
      </c>
    </row>
    <row r="67" spans="1:23" x14ac:dyDescent="0.25">
      <c r="A67" s="3">
        <v>45107</v>
      </c>
      <c r="B67" s="4">
        <v>1816755.68539258</v>
      </c>
      <c r="C67" s="4">
        <v>1993807.0447138101</v>
      </c>
      <c r="D67" s="4">
        <v>-16214.5006873401</v>
      </c>
      <c r="E67" s="4">
        <v>6447.5999999999904</v>
      </c>
      <c r="F67" s="4">
        <v>311570.13783366198</v>
      </c>
      <c r="G67" s="4">
        <v>132615.13216634499</v>
      </c>
      <c r="H67" s="4">
        <v>1089773.35130935</v>
      </c>
      <c r="I67" s="4">
        <v>108167.693941056</v>
      </c>
      <c r="J67" s="1">
        <v>5.7363935418895902E-2</v>
      </c>
      <c r="K67" s="1">
        <v>9.0017076660358894E-2</v>
      </c>
      <c r="L67" s="1">
        <v>4.7075491050407599E-2</v>
      </c>
      <c r="M67" s="1">
        <v>1.0699999999999999E-2</v>
      </c>
      <c r="N67" s="1">
        <v>-8.0000000000000004E-4</v>
      </c>
      <c r="O67" s="1">
        <v>8.5744908896034904E-3</v>
      </c>
      <c r="P67" s="1">
        <v>1.5789421168226001</v>
      </c>
      <c r="Q67" s="1">
        <v>0.545600900499986</v>
      </c>
      <c r="R67" s="1">
        <v>0.41719144667291402</v>
      </c>
      <c r="S67" s="1">
        <v>0.44795212204877899</v>
      </c>
      <c r="T67" s="1">
        <v>0.35461705188407799</v>
      </c>
      <c r="U67" s="1">
        <v>1.5196331036083801</v>
      </c>
      <c r="V67" s="1">
        <v>3.5489637114341699E-3</v>
      </c>
      <c r="W67" s="1">
        <v>3.2338134309910001E-3</v>
      </c>
    </row>
    <row r="68" spans="1:23" x14ac:dyDescent="0.25">
      <c r="A68" s="3">
        <v>45138</v>
      </c>
      <c r="B68" s="4">
        <v>2079234.2807809699</v>
      </c>
      <c r="C68" s="4">
        <v>2271786.004131</v>
      </c>
      <c r="D68" s="4">
        <v>41812.224976757097</v>
      </c>
      <c r="E68" s="4">
        <v>3544.99</v>
      </c>
      <c r="F68" s="4">
        <v>232043.61960961</v>
      </c>
      <c r="G68" s="4">
        <v>217121.380411633</v>
      </c>
      <c r="H68" s="4">
        <v>1306894.73172098</v>
      </c>
      <c r="I68" s="4">
        <v>60857.579005560197</v>
      </c>
      <c r="J68" s="1">
        <v>2.75258024248827E-2</v>
      </c>
      <c r="K68" s="1">
        <v>3.2653890775445199E-2</v>
      </c>
      <c r="L68" s="1">
        <v>1.3266439655681399E-2</v>
      </c>
      <c r="M68" s="1">
        <v>1.0699999999999999E-2</v>
      </c>
      <c r="N68" s="1">
        <v>1.1999999999999999E-3</v>
      </c>
      <c r="O68" s="1">
        <v>1.9426142401700298E-2</v>
      </c>
      <c r="P68" s="1">
        <v>1.64992956799547</v>
      </c>
      <c r="Q68" s="1">
        <v>0.59607078348734199</v>
      </c>
      <c r="R68" s="1">
        <v>0.43599253148074801</v>
      </c>
      <c r="S68" s="1">
        <v>0.46344520975470099</v>
      </c>
      <c r="T68" s="1">
        <v>0.35624259234633898</v>
      </c>
      <c r="U68" s="1">
        <v>1.5685798550791099</v>
      </c>
      <c r="V68" s="1">
        <v>1.7049497657707299E-3</v>
      </c>
      <c r="W68" s="1">
        <v>1.5604418697684501E-3</v>
      </c>
    </row>
    <row r="69" spans="1:23" x14ac:dyDescent="0.25">
      <c r="A69" s="3">
        <v>45169</v>
      </c>
      <c r="B69" s="4">
        <v>2103576.7839501202</v>
      </c>
      <c r="C69" s="4">
        <v>2208611.3238871801</v>
      </c>
      <c r="D69" s="4">
        <v>4654.7331691546096</v>
      </c>
      <c r="E69" s="4">
        <v>7682.4</v>
      </c>
      <c r="F69" s="4">
        <v>21345.68</v>
      </c>
      <c r="G69" s="4">
        <v>12005.369999999901</v>
      </c>
      <c r="H69" s="4">
        <v>1318900.1017209799</v>
      </c>
      <c r="I69" s="4">
        <v>-75180.050243818405</v>
      </c>
      <c r="J69" s="1">
        <v>-3.2918965845741902E-2</v>
      </c>
      <c r="K69" s="1">
        <v>-5.0851627399686697E-2</v>
      </c>
      <c r="L69" s="1">
        <v>4.8887229643983501E-3</v>
      </c>
      <c r="M69" s="1">
        <v>1.13999999999999E-2</v>
      </c>
      <c r="N69" s="1">
        <v>2.3E-3</v>
      </c>
      <c r="O69" s="1">
        <v>3.2649487115336599E-2</v>
      </c>
      <c r="P69" s="1">
        <v>1.5626966270530001</v>
      </c>
      <c r="Q69" s="1">
        <v>0.51490798670191695</v>
      </c>
      <c r="R69" s="1">
        <v>0.44301270114610303</v>
      </c>
      <c r="S69" s="1">
        <v>0.480128485145904</v>
      </c>
      <c r="T69" s="1">
        <v>0.35936195030873502</v>
      </c>
      <c r="U69" s="1">
        <v>1.6524426699622301</v>
      </c>
      <c r="V69" s="1">
        <v>3.65206540527314E-3</v>
      </c>
      <c r="W69" s="1">
        <v>3.47838477368615E-3</v>
      </c>
    </row>
    <row r="70" spans="1:23" x14ac:dyDescent="0.25">
      <c r="A70" s="3">
        <v>45199</v>
      </c>
      <c r="B70" s="4">
        <v>2146602.28261291</v>
      </c>
      <c r="C70" s="4">
        <v>2208130.4625442801</v>
      </c>
      <c r="D70" s="4">
        <v>28407.6311627906</v>
      </c>
      <c r="E70" s="4">
        <v>8885.94</v>
      </c>
      <c r="F70" s="4">
        <v>144085.4</v>
      </c>
      <c r="G70" s="4">
        <v>5724.0899999991198</v>
      </c>
      <c r="H70" s="4">
        <v>1324624.19172098</v>
      </c>
      <c r="I70" s="4">
        <v>-6204.9513429009503</v>
      </c>
      <c r="J70" s="1">
        <v>-2.8021731956172601E-3</v>
      </c>
      <c r="K70" s="1">
        <v>7.1106426362081898E-3</v>
      </c>
      <c r="L70" s="1">
        <v>2.0138042975241799E-3</v>
      </c>
      <c r="M70" s="1">
        <v>9.7000000000000003E-3</v>
      </c>
      <c r="N70" s="1">
        <v>2.5999999999999999E-3</v>
      </c>
      <c r="O70" s="1">
        <v>-3.5776297193620001E-2</v>
      </c>
      <c r="P70" s="1">
        <v>1.5555155072561799</v>
      </c>
      <c r="Q70" s="1">
        <v>0.52567995602209205</v>
      </c>
      <c r="R70" s="1">
        <v>0.44591864632505301</v>
      </c>
      <c r="S70" s="1">
        <v>0.49448573145182001</v>
      </c>
      <c r="T70" s="1">
        <v>0.36289629137953799</v>
      </c>
      <c r="U70" s="1">
        <v>1.55754809271262</v>
      </c>
      <c r="V70" s="1">
        <v>4.1395371988441699E-3</v>
      </c>
      <c r="W70" s="1">
        <v>4.0241915732466696E-3</v>
      </c>
    </row>
    <row r="71" spans="1:23" x14ac:dyDescent="0.25">
      <c r="A71" s="3">
        <v>45230</v>
      </c>
      <c r="B71" s="4">
        <v>2164427.8280351101</v>
      </c>
      <c r="C71" s="4">
        <v>2165005.5219398602</v>
      </c>
      <c r="D71" s="4">
        <v>4398.0254222015801</v>
      </c>
      <c r="E71" s="4">
        <v>2964.97</v>
      </c>
      <c r="F71" s="4">
        <v>114889</v>
      </c>
      <c r="G71" s="4">
        <v>10462.5499999966</v>
      </c>
      <c r="H71" s="4">
        <v>1335086.74172098</v>
      </c>
      <c r="I71" s="4">
        <v>-53587.490604416504</v>
      </c>
      <c r="J71" s="1">
        <v>-2.41538174425972E-2</v>
      </c>
      <c r="K71" s="1">
        <v>-2.93484322052074E-2</v>
      </c>
      <c r="L71" s="1">
        <v>-1.9749781797915401E-2</v>
      </c>
      <c r="M71" s="1">
        <v>0.01</v>
      </c>
      <c r="N71" s="1">
        <v>2.3999999999999998E-3</v>
      </c>
      <c r="O71" s="1">
        <v>-2.0059466476820501E-2</v>
      </c>
      <c r="P71" s="1">
        <v>1.4937900522221801</v>
      </c>
      <c r="Q71" s="1">
        <v>0.48090364126593399</v>
      </c>
      <c r="R71" s="1">
        <v>0.417362068562596</v>
      </c>
      <c r="S71" s="1">
        <v>0.50943058876633796</v>
      </c>
      <c r="T71" s="1">
        <v>0.36616724247884902</v>
      </c>
      <c r="U71" s="1">
        <v>1.5062450424839999</v>
      </c>
      <c r="V71" s="1">
        <v>1.3698631858247801E-3</v>
      </c>
      <c r="W71" s="1">
        <v>1.3694976617627101E-3</v>
      </c>
    </row>
    <row r="72" spans="1:23" x14ac:dyDescent="0.25">
      <c r="A72" s="3">
        <v>45260</v>
      </c>
      <c r="B72" s="4">
        <v>2187654.7703320798</v>
      </c>
      <c r="C72" s="4">
        <v>2342191.2869951199</v>
      </c>
      <c r="D72" s="4">
        <v>7057.0110639534896</v>
      </c>
      <c r="E72" s="4">
        <v>3796.309706</v>
      </c>
      <c r="F72" s="4">
        <v>19775</v>
      </c>
      <c r="G72" s="4">
        <v>12373.621527011001</v>
      </c>
      <c r="H72" s="4">
        <v>1347460.3632479899</v>
      </c>
      <c r="I72" s="4">
        <v>164812.143528252</v>
      </c>
      <c r="J72" s="1">
        <v>7.5692900808186497E-2</v>
      </c>
      <c r="K72" s="1">
        <v>0.12538888496075801</v>
      </c>
      <c r="L72" s="1">
        <v>6.6102949407875703E-3</v>
      </c>
      <c r="M72" s="1">
        <v>9.1999999999999998E-3</v>
      </c>
      <c r="N72" s="1">
        <v>2.8E-3</v>
      </c>
      <c r="O72" s="1">
        <v>6.7094017094016994E-2</v>
      </c>
      <c r="P72" s="1">
        <v>1.68255225528148</v>
      </c>
      <c r="Q72" s="1">
        <v>0.66659249757859595</v>
      </c>
      <c r="R72" s="1">
        <v>0.426731249873679</v>
      </c>
      <c r="S72" s="1">
        <v>0.52331735018298797</v>
      </c>
      <c r="T72" s="1">
        <v>0.36999251075778899</v>
      </c>
      <c r="U72" s="1">
        <v>1.67439909020622</v>
      </c>
      <c r="V72" s="1">
        <v>1.73533308704998E-3</v>
      </c>
      <c r="W72" s="1">
        <v>1.6208367468014901E-3</v>
      </c>
    </row>
    <row r="73" spans="1:23" x14ac:dyDescent="0.25">
      <c r="A73" s="3">
        <v>45291</v>
      </c>
      <c r="B73" s="4">
        <v>2311393.7125034402</v>
      </c>
      <c r="C73" s="4">
        <v>2501052.2065627901</v>
      </c>
      <c r="D73" s="4">
        <v>88639.565955930695</v>
      </c>
      <c r="E73" s="4">
        <v>12691.98</v>
      </c>
      <c r="F73" s="4">
        <v>139408.416</v>
      </c>
      <c r="G73" s="4">
        <v>22407.396215428598</v>
      </c>
      <c r="H73" s="4">
        <v>1369867.7594634199</v>
      </c>
      <c r="I73" s="4">
        <v>136453.52335224199</v>
      </c>
      <c r="J73" s="1">
        <v>5.7706842315826401E-2</v>
      </c>
      <c r="K73" s="1">
        <v>5.3828211511729201E-2</v>
      </c>
      <c r="L73" s="1">
        <v>4.2457838214644501E-2</v>
      </c>
      <c r="M73" s="1">
        <v>8.8999999999999999E-3</v>
      </c>
      <c r="N73" s="1">
        <v>5.5999999999999999E-3</v>
      </c>
      <c r="O73" s="1">
        <v>3.1678013616339699E-2</v>
      </c>
      <c r="P73" s="1">
        <v>1.8373538752809799</v>
      </c>
      <c r="Q73" s="1">
        <v>0.75630219104211804</v>
      </c>
      <c r="R73" s="1">
        <v>0.48730717445659399</v>
      </c>
      <c r="S73" s="1">
        <v>0.53687487459961702</v>
      </c>
      <c r="T73" s="1">
        <v>0.37766446881803301</v>
      </c>
      <c r="U73" s="1">
        <v>1.7591187410013001</v>
      </c>
      <c r="V73" s="1">
        <v>5.4910506727360898E-3</v>
      </c>
      <c r="W73" s="1">
        <v>5.0746561653915298E-3</v>
      </c>
    </row>
    <row r="74" spans="1:23" x14ac:dyDescent="0.25">
      <c r="A74" s="3">
        <v>45322</v>
      </c>
      <c r="B74" s="4">
        <v>2318493.7234756099</v>
      </c>
      <c r="C74" s="4">
        <v>2364097.1725410698</v>
      </c>
      <c r="D74" s="4">
        <v>9975.90597217291</v>
      </c>
      <c r="E74" s="4">
        <v>1810.56</v>
      </c>
      <c r="F74" s="4">
        <v>30696.74</v>
      </c>
      <c r="G74" s="4">
        <v>-4686.4549999999599</v>
      </c>
      <c r="H74" s="4">
        <v>1365181.3044634201</v>
      </c>
      <c r="I74" s="4">
        <v>-132268.57902172301</v>
      </c>
      <c r="J74" s="1">
        <v>-5.2885173158180497E-2</v>
      </c>
      <c r="K74" s="1">
        <v>-4.7941275105265101E-2</v>
      </c>
      <c r="L74" s="1">
        <v>6.6678379373290497E-3</v>
      </c>
      <c r="M74" s="1">
        <v>9.7000000000000003E-3</v>
      </c>
      <c r="N74" s="1">
        <v>4.1999999999999997E-3</v>
      </c>
      <c r="O74" s="1">
        <v>3.4975350335778803E-2</v>
      </c>
      <c r="P74" s="1">
        <v>1.6872999242757101</v>
      </c>
      <c r="Q74" s="1">
        <v>0.67210282453338799</v>
      </c>
      <c r="R74" s="1">
        <v>0.49722429765889697</v>
      </c>
      <c r="S74" s="1">
        <v>0.55178256088323296</v>
      </c>
      <c r="T74" s="1">
        <v>0.38345065958706898</v>
      </c>
      <c r="U74" s="1">
        <v>1.8556198855858299</v>
      </c>
      <c r="V74" s="1">
        <v>7.80920811502487E-4</v>
      </c>
      <c r="W74" s="1">
        <v>7.65856844223496E-4</v>
      </c>
    </row>
    <row r="75" spans="1:23" x14ac:dyDescent="0.25">
      <c r="A75" s="3">
        <v>45351</v>
      </c>
      <c r="B75" s="4">
        <v>2178931.8945825701</v>
      </c>
      <c r="C75" s="4">
        <v>2223906.0594340302</v>
      </c>
      <c r="D75" s="4">
        <v>21263.326991533599</v>
      </c>
      <c r="E75" s="4">
        <v>2182.23</v>
      </c>
      <c r="F75" s="4">
        <v>257890.03081263401</v>
      </c>
      <c r="G75" s="4">
        <v>-163007.38588457301</v>
      </c>
      <c r="H75" s="4">
        <v>1202173.9185788401</v>
      </c>
      <c r="I75" s="4">
        <v>22816.2727775366</v>
      </c>
      <c r="J75" s="1">
        <v>9.6511569162838207E-3</v>
      </c>
      <c r="K75" s="1">
        <v>9.9254806186987992E-3</v>
      </c>
      <c r="L75" s="1">
        <v>7.9465758785099896E-3</v>
      </c>
      <c r="M75" s="1">
        <v>8.0000000000000002E-3</v>
      </c>
      <c r="N75" s="1">
        <v>8.3000000000000001E-3</v>
      </c>
      <c r="O75" s="1">
        <v>5.4309504163228599E-2</v>
      </c>
      <c r="P75" s="1">
        <v>1.7132354775260099</v>
      </c>
      <c r="Q75" s="1">
        <v>0.68869924871076504</v>
      </c>
      <c r="R75" s="1">
        <v>0.50912210414739201</v>
      </c>
      <c r="S75" s="1">
        <v>0.56419682137029903</v>
      </c>
      <c r="T75" s="1">
        <v>0.39493330006164101</v>
      </c>
      <c r="U75" s="1">
        <v>2.01070718565065</v>
      </c>
      <c r="V75" s="1">
        <v>1.0015136340083E-3</v>
      </c>
      <c r="W75" s="1">
        <v>9.812599730742921E-4</v>
      </c>
    </row>
    <row r="76" spans="1:23" x14ac:dyDescent="0.25">
      <c r="A76" s="3">
        <v>45382</v>
      </c>
      <c r="B76" s="4">
        <v>2206352.9082593299</v>
      </c>
      <c r="C76" s="4">
        <v>2282183.5462561501</v>
      </c>
      <c r="D76" s="4">
        <v>3591.4436821705399</v>
      </c>
      <c r="E76" s="4">
        <v>4284.0200000000004</v>
      </c>
      <c r="F76" s="4">
        <v>21635.75</v>
      </c>
      <c r="G76" s="4">
        <v>19545.549994586399</v>
      </c>
      <c r="H76" s="4">
        <v>1221719.4685734301</v>
      </c>
      <c r="I76" s="4">
        <v>38731.936827532503</v>
      </c>
      <c r="J76" s="1">
        <v>1.7264440500857001E-2</v>
      </c>
      <c r="K76" s="1">
        <v>-7.0841729964347096E-3</v>
      </c>
      <c r="L76" s="1">
        <v>1.43303280784969E-2</v>
      </c>
      <c r="M76" s="1">
        <v>8.3000000000000001E-3</v>
      </c>
      <c r="N76" s="1">
        <v>1.6000000000000001E-3</v>
      </c>
      <c r="O76" s="1">
        <v>4.0910707933119898E-2</v>
      </c>
      <c r="P76" s="1">
        <v>1.7600779699925699</v>
      </c>
      <c r="Q76" s="1">
        <v>0.67673621109394899</v>
      </c>
      <c r="R76" s="1">
        <v>0.53074831901033603</v>
      </c>
      <c r="S76" s="1">
        <v>0.57717965498767199</v>
      </c>
      <c r="T76" s="1">
        <v>0.39716519334174</v>
      </c>
      <c r="U76" s="1">
        <v>2.1338773479949502</v>
      </c>
      <c r="V76" s="1">
        <v>1.94167487166856E-3</v>
      </c>
      <c r="W76" s="1">
        <v>1.8771583937794E-3</v>
      </c>
    </row>
    <row r="77" spans="1:23" x14ac:dyDescent="0.25">
      <c r="A77" s="3">
        <v>45412</v>
      </c>
      <c r="B77" s="4">
        <v>2171205.2234895998</v>
      </c>
      <c r="C77" s="4">
        <v>2129920.40159922</v>
      </c>
      <c r="D77" s="4">
        <v>19628.655230272201</v>
      </c>
      <c r="E77" s="4">
        <v>1514.88</v>
      </c>
      <c r="F77" s="4">
        <v>150127.47</v>
      </c>
      <c r="G77" s="4">
        <v>-56291.220000000401</v>
      </c>
      <c r="H77" s="4">
        <v>1165428.2485734301</v>
      </c>
      <c r="I77" s="4">
        <v>-95971.924656934803</v>
      </c>
      <c r="J77" s="1">
        <v>-4.2052675743094202E-2</v>
      </c>
      <c r="K77" s="1">
        <v>-1.7032769737561002E-2</v>
      </c>
      <c r="L77" s="1">
        <v>-7.7343614678223498E-3</v>
      </c>
      <c r="M77" s="1">
        <v>8.8999999999999999E-3</v>
      </c>
      <c r="N77" s="1">
        <v>3.8E-3</v>
      </c>
      <c r="O77" s="1">
        <v>-5.4682159945318399E-3</v>
      </c>
      <c r="P77" s="1">
        <v>1.64400930609482</v>
      </c>
      <c r="Q77" s="1">
        <v>0.648176749299755</v>
      </c>
      <c r="R77" s="1">
        <v>0.51890895819484895</v>
      </c>
      <c r="S77" s="1">
        <v>0.59121655391706196</v>
      </c>
      <c r="T77" s="1">
        <v>0.40247442107643899</v>
      </c>
      <c r="U77" s="1">
        <v>2.1167406297557401</v>
      </c>
      <c r="V77" s="1">
        <v>6.97713870439781E-4</v>
      </c>
      <c r="W77" s="1">
        <v>7.1123784666439699E-4</v>
      </c>
    </row>
    <row r="78" spans="1:23" x14ac:dyDescent="0.25">
      <c r="A78" s="3">
        <v>45443</v>
      </c>
      <c r="B78" s="4">
        <v>2187120.4730054899</v>
      </c>
      <c r="C78" s="4">
        <v>2136718.5358442799</v>
      </c>
      <c r="D78" s="4">
        <v>-3121.8208421304198</v>
      </c>
      <c r="E78" s="4">
        <v>1996.53</v>
      </c>
      <c r="F78" s="4">
        <v>99810.880000000005</v>
      </c>
      <c r="G78" s="4">
        <v>17040.540358026599</v>
      </c>
      <c r="H78" s="4">
        <v>1182468.7889314599</v>
      </c>
      <c r="I78" s="4">
        <v>-10242.4061129611</v>
      </c>
      <c r="J78" s="1">
        <v>-4.7706532116152901E-3</v>
      </c>
      <c r="K78" s="1">
        <v>-3.0383405863854299E-2</v>
      </c>
      <c r="L78" s="1">
        <v>1.6265020056582799E-4</v>
      </c>
      <c r="M78" s="1">
        <v>8.3000000000000001E-3</v>
      </c>
      <c r="N78" s="1">
        <v>4.5999999999999999E-3</v>
      </c>
      <c r="O78" s="1">
        <v>5.9106529209621998E-2</v>
      </c>
      <c r="P78" s="1">
        <v>1.63139565460715</v>
      </c>
      <c r="Q78" s="1">
        <v>0.59809952619041296</v>
      </c>
      <c r="R78" s="1">
        <v>0.51915600904154002</v>
      </c>
      <c r="S78" s="1">
        <v>0.60442365131457398</v>
      </c>
      <c r="T78" s="1">
        <v>0.40892580341339002</v>
      </c>
      <c r="U78" s="1">
        <v>2.3009603508272201</v>
      </c>
      <c r="V78" s="1">
        <v>9.1285780762520401E-4</v>
      </c>
      <c r="W78" s="1">
        <v>9.3439073350440305E-4</v>
      </c>
    </row>
    <row r="79" spans="1:23" x14ac:dyDescent="0.25">
      <c r="A79" s="3">
        <v>45473</v>
      </c>
      <c r="B79" s="4">
        <v>2193310.6330166301</v>
      </c>
      <c r="C79" s="4">
        <v>2164273.8583302102</v>
      </c>
      <c r="D79" s="4">
        <v>288.200011671308</v>
      </c>
      <c r="E79" s="4">
        <v>1867.55</v>
      </c>
      <c r="F79" s="4">
        <v>11288.2</v>
      </c>
      <c r="G79" s="4">
        <v>4034.40999946187</v>
      </c>
      <c r="H79" s="4">
        <v>1186503.1989309201</v>
      </c>
      <c r="I79" s="4">
        <v>23520.9124864642</v>
      </c>
      <c r="J79" s="1">
        <v>1.0987214817164999E-2</v>
      </c>
      <c r="K79" s="1">
        <v>1.48159675015151E-2</v>
      </c>
      <c r="L79" s="1">
        <v>-1.0350824830113001E-2</v>
      </c>
      <c r="M79" s="1">
        <v>7.9000000000000008E-3</v>
      </c>
      <c r="N79" s="1">
        <v>2.0999999999999999E-3</v>
      </c>
      <c r="O79" s="1">
        <v>0.102628163530175</v>
      </c>
      <c r="P79" s="1">
        <v>1.6603073639332799</v>
      </c>
      <c r="Q79" s="1">
        <v>0.62177691683463598</v>
      </c>
      <c r="R79" s="1">
        <v>0.503431491302338</v>
      </c>
      <c r="S79" s="1">
        <v>0.61709859815995904</v>
      </c>
      <c r="T79" s="1">
        <v>0.41188454760055898</v>
      </c>
      <c r="U79" s="1">
        <v>2.6397318495185398</v>
      </c>
      <c r="V79" s="1">
        <v>8.5147537785444096E-4</v>
      </c>
      <c r="W79" s="1">
        <v>8.6289911639964804E-4</v>
      </c>
    </row>
    <row r="80" spans="1:23" x14ac:dyDescent="0.25">
      <c r="A80" s="3">
        <v>45504</v>
      </c>
      <c r="B80" s="4">
        <v>2196080.4491080199</v>
      </c>
      <c r="C80" s="4">
        <v>2257485.37559414</v>
      </c>
      <c r="D80" s="4">
        <v>36.506226382921703</v>
      </c>
      <c r="E80" s="4">
        <v>1413.51</v>
      </c>
      <c r="F80" s="4">
        <v>4511.2699973521003</v>
      </c>
      <c r="G80" s="4">
        <v>1319.79986501392</v>
      </c>
      <c r="H80" s="4">
        <v>1187822.9987959301</v>
      </c>
      <c r="I80" s="4">
        <v>91891.717398918205</v>
      </c>
      <c r="J80" s="1">
        <v>4.2432575959563602E-2</v>
      </c>
      <c r="K80" s="1">
        <v>3.0224281114061301E-2</v>
      </c>
      <c r="L80" s="1">
        <v>5.2130954416211798E-3</v>
      </c>
      <c r="M80" s="1">
        <v>9.1000000000000004E-3</v>
      </c>
      <c r="N80" s="1">
        <v>3.8E-3</v>
      </c>
      <c r="O80" s="1">
        <v>2.3158638142600701E-2</v>
      </c>
      <c r="P80" s="1">
        <v>1.7731910582291599</v>
      </c>
      <c r="Q80" s="1">
        <v>0.67079395827334198</v>
      </c>
      <c r="R80" s="1">
        <v>0.51126902315643596</v>
      </c>
      <c r="S80" s="1">
        <v>0.63181419540321504</v>
      </c>
      <c r="T80" s="1">
        <v>0.41724970888144097</v>
      </c>
      <c r="U80" s="1">
        <v>2.7240230823576401</v>
      </c>
      <c r="V80" s="1">
        <v>6.4365128361946696E-4</v>
      </c>
      <c r="W80" s="1">
        <v>6.2614359113089598E-4</v>
      </c>
    </row>
    <row r="81" spans="1:23" x14ac:dyDescent="0.25">
      <c r="A81" s="3">
        <v>45535</v>
      </c>
      <c r="B81" s="4">
        <v>2203292.2110608099</v>
      </c>
      <c r="C81" s="4">
        <v>2330500.2461475199</v>
      </c>
      <c r="D81" s="4">
        <v>22.791951853515599</v>
      </c>
      <c r="E81" s="4">
        <v>1064</v>
      </c>
      <c r="F81" s="4">
        <v>2006.21999941953</v>
      </c>
      <c r="G81" s="4">
        <v>6124.9700009378403</v>
      </c>
      <c r="H81" s="4">
        <v>1193947.96879687</v>
      </c>
      <c r="I81" s="4">
        <v>66889.900552436899</v>
      </c>
      <c r="J81" s="1">
        <v>2.95500949103728E-2</v>
      </c>
      <c r="K81" s="1">
        <v>6.5427882054335196E-2</v>
      </c>
      <c r="L81" s="1">
        <v>8.55034185912662E-3</v>
      </c>
      <c r="M81" s="1">
        <v>8.6999999999999994E-3</v>
      </c>
      <c r="N81" s="1">
        <v>-2.0000000000000001E-4</v>
      </c>
      <c r="O81" s="1">
        <v>2.0563704342824299E-2</v>
      </c>
      <c r="P81" s="1">
        <v>1.85513911720443</v>
      </c>
      <c r="Q81" s="1">
        <v>0.78011046831234598</v>
      </c>
      <c r="R81" s="1">
        <v>0.52419088994553098</v>
      </c>
      <c r="S81" s="1">
        <v>0.64601097890322301</v>
      </c>
      <c r="T81" s="1">
        <v>0.41696625893966499</v>
      </c>
      <c r="U81" s="1">
        <v>2.8006027919890899</v>
      </c>
      <c r="V81" s="1">
        <v>4.8291370280282301E-4</v>
      </c>
      <c r="W81" s="1">
        <v>4.5655433924920801E-4</v>
      </c>
    </row>
    <row r="82" spans="1:23" x14ac:dyDescent="0.25">
      <c r="A82" s="3">
        <v>45565</v>
      </c>
      <c r="B82" s="4">
        <v>2201316.4701957498</v>
      </c>
      <c r="C82" s="4">
        <v>2282559.96765099</v>
      </c>
      <c r="D82" s="4">
        <v>122.299129515793</v>
      </c>
      <c r="E82" s="4">
        <v>1020</v>
      </c>
      <c r="F82" s="4">
        <v>6620.7099945771197</v>
      </c>
      <c r="G82" s="4">
        <v>-3118.0399945787099</v>
      </c>
      <c r="H82" s="4">
        <v>1190829.92880229</v>
      </c>
      <c r="I82" s="4">
        <v>-44822.238501942797</v>
      </c>
      <c r="J82" s="1">
        <v>-1.9232882972673698E-2</v>
      </c>
      <c r="K82" s="1">
        <v>-3.0793211964354E-2</v>
      </c>
      <c r="L82" s="1">
        <v>-2.5807805061028501E-2</v>
      </c>
      <c r="M82" s="1">
        <v>8.3999999999999995E-3</v>
      </c>
      <c r="N82" s="1">
        <v>4.4000000000000003E-3</v>
      </c>
      <c r="O82" s="1">
        <v>-1.4231365365647499E-2</v>
      </c>
      <c r="P82" s="1">
        <v>1.8002265606925401</v>
      </c>
      <c r="Q82" s="1">
        <v>0.72529514934163897</v>
      </c>
      <c r="R82" s="1">
        <v>0.48485486858202198</v>
      </c>
      <c r="S82" s="1">
        <v>0.65983747112600999</v>
      </c>
      <c r="T82" s="1">
        <v>0.42320091047899899</v>
      </c>
      <c r="U82" s="1">
        <v>2.7465150250465999</v>
      </c>
      <c r="V82" s="1">
        <v>4.6335909162088503E-4</v>
      </c>
      <c r="W82" s="1">
        <v>4.4686668234600199E-4</v>
      </c>
    </row>
    <row r="83" spans="1:23" x14ac:dyDescent="0.25">
      <c r="A83" s="3">
        <v>45596</v>
      </c>
      <c r="B83" s="4">
        <v>2201181.4138589799</v>
      </c>
      <c r="C83" s="4">
        <v>2215820.5643091202</v>
      </c>
      <c r="D83" s="4">
        <v>9162.7436779708496</v>
      </c>
      <c r="E83" s="4">
        <v>1130</v>
      </c>
      <c r="F83" s="4">
        <v>62615.9900147359</v>
      </c>
      <c r="G83" s="4">
        <v>-10427.8000147453</v>
      </c>
      <c r="H83" s="4">
        <v>1180402.1287875499</v>
      </c>
      <c r="I83" s="4">
        <v>-56311.603327124903</v>
      </c>
      <c r="J83" s="1">
        <v>-2.4670371918016E-2</v>
      </c>
      <c r="K83" s="1">
        <v>-1.5954057170601499E-2</v>
      </c>
      <c r="L83" s="1">
        <v>-3.0590079071707701E-2</v>
      </c>
      <c r="M83" s="1">
        <v>9.2999999999999992E-3</v>
      </c>
      <c r="N83" s="1">
        <v>5.5999999999999999E-3</v>
      </c>
      <c r="O83" s="1">
        <v>5.3687821612349702E-2</v>
      </c>
      <c r="P83" s="1">
        <v>1.73114392998554</v>
      </c>
      <c r="Q83" s="1">
        <v>0.69776969189288096</v>
      </c>
      <c r="R83" s="1">
        <v>0.439433040742087</v>
      </c>
      <c r="S83" s="1">
        <v>0.67527395960748204</v>
      </c>
      <c r="T83" s="1">
        <v>0.43117083557768199</v>
      </c>
      <c r="U83" s="1">
        <v>2.9476572553792901</v>
      </c>
      <c r="V83" s="1">
        <v>5.1336068571419997E-4</v>
      </c>
      <c r="W83" s="1">
        <v>5.0996909145137499E-4</v>
      </c>
    </row>
    <row r="84" spans="1:23" x14ac:dyDescent="0.25">
      <c r="A84" s="3">
        <v>45626</v>
      </c>
      <c r="B84" s="4">
        <v>2200739.9044281598</v>
      </c>
      <c r="C84" s="4">
        <v>2169005.3715609098</v>
      </c>
      <c r="D84" s="4">
        <v>3600.0986820819498</v>
      </c>
      <c r="E84" s="4">
        <v>1075</v>
      </c>
      <c r="F84" s="4">
        <v>18173.809706899501</v>
      </c>
      <c r="G84" s="4">
        <v>-5116.6081128946198</v>
      </c>
      <c r="H84" s="4">
        <v>1175285.5206746501</v>
      </c>
      <c r="I84" s="4">
        <v>-41698.5846353167</v>
      </c>
      <c r="J84" s="1">
        <v>-1.88185746206024E-2</v>
      </c>
      <c r="K84" s="1">
        <v>-3.1184229799634498E-2</v>
      </c>
      <c r="L84" s="1">
        <v>-2.1065016635528601E-2</v>
      </c>
      <c r="M84" s="1">
        <v>7.9000000000000008E-3</v>
      </c>
      <c r="N84" s="1">
        <v>3.8999999999999998E-3</v>
      </c>
      <c r="O84" s="1">
        <v>9.2978457865320996E-2</v>
      </c>
      <c r="P84" s="1">
        <v>1.67974769413951</v>
      </c>
      <c r="Q84" s="1">
        <v>0.64482605167403795</v>
      </c>
      <c r="R84" s="1">
        <v>0.40911135979312502</v>
      </c>
      <c r="S84" s="1">
        <v>0.68850862388838097</v>
      </c>
      <c r="T84" s="1">
        <v>0.43675240183643499</v>
      </c>
      <c r="U84" s="1">
        <v>3.3147043391653002</v>
      </c>
      <c r="V84" s="1">
        <v>4.8847208061114395E-4</v>
      </c>
      <c r="W84" s="1">
        <v>4.9561887402168095E-4</v>
      </c>
    </row>
    <row r="85" spans="1:23" x14ac:dyDescent="0.25">
      <c r="A85" s="3">
        <v>45657</v>
      </c>
      <c r="B85" s="4">
        <v>2249043.2265494899</v>
      </c>
      <c r="C85" s="4">
        <v>2073399.78690861</v>
      </c>
      <c r="D85" s="4">
        <v>16632.774351330099</v>
      </c>
      <c r="E85" s="4">
        <v>1395.43</v>
      </c>
      <c r="F85" s="4">
        <v>32427.575023436999</v>
      </c>
      <c r="G85" s="4">
        <v>30275.117769996599</v>
      </c>
      <c r="H85" s="4">
        <v>1205560.63844465</v>
      </c>
      <c r="I85" s="4">
        <v>-125880.70242229701</v>
      </c>
      <c r="J85" s="1">
        <v>-5.7237220551432898E-2</v>
      </c>
      <c r="K85" s="1">
        <v>-4.2851004233376802E-2</v>
      </c>
      <c r="L85" s="1">
        <v>-6.7095422872129797E-3</v>
      </c>
      <c r="M85" s="1">
        <v>9.2999999999999992E-3</v>
      </c>
      <c r="N85" s="1">
        <v>5.1999999999999998E-3</v>
      </c>
      <c r="O85" s="1">
        <v>1.2039220553555699E-2</v>
      </c>
      <c r="P85" s="1">
        <v>1.5263663843478501</v>
      </c>
      <c r="Q85" s="1">
        <v>0.574343603570586</v>
      </c>
      <c r="R85" s="1">
        <v>0.39965686753720098</v>
      </c>
      <c r="S85" s="1">
        <v>0.70421175409054304</v>
      </c>
      <c r="T85" s="1">
        <v>0.444223514325984</v>
      </c>
      <c r="U85" s="1">
        <v>3.3666500163278901</v>
      </c>
      <c r="V85" s="1">
        <v>6.20454948809891E-4</v>
      </c>
      <c r="W85" s="1">
        <v>6.7301540629583401E-4</v>
      </c>
    </row>
    <row r="86" spans="1:23" x14ac:dyDescent="0.25">
      <c r="A86" s="3">
        <v>45688</v>
      </c>
      <c r="B86" s="4">
        <v>2263021.21991914</v>
      </c>
      <c r="C86" s="4">
        <v>2123394.8923885901</v>
      </c>
      <c r="D86" s="4">
        <v>10.2112727272723</v>
      </c>
      <c r="E86" s="4">
        <v>1323</v>
      </c>
      <c r="F86" s="4">
        <v>2577.96</v>
      </c>
      <c r="G86" s="4">
        <v>12644.7820969204</v>
      </c>
      <c r="H86" s="4">
        <v>1214645.39702354</v>
      </c>
      <c r="I86" s="4">
        <v>37350.323383059796</v>
      </c>
      <c r="J86" s="1">
        <v>1.79048539700499E-2</v>
      </c>
      <c r="K86" s="1">
        <v>4.8651929200302702E-2</v>
      </c>
      <c r="L86" s="1">
        <v>-3.0693694271742501E-2</v>
      </c>
      <c r="M86" s="1">
        <v>1.01E-2</v>
      </c>
      <c r="N86" s="1">
        <v>1.6000000000000001E-3</v>
      </c>
      <c r="O86" s="1">
        <v>-3.3235221976943799E-2</v>
      </c>
      <c r="P86" s="1">
        <v>1.5758559750142</v>
      </c>
      <c r="Q86" s="1">
        <v>0.650938457108451</v>
      </c>
      <c r="R86" s="1">
        <v>0.35669622755967001</v>
      </c>
      <c r="S86" s="1">
        <v>0.72142429280685705</v>
      </c>
      <c r="T86" s="1">
        <v>0.44653427194890599</v>
      </c>
      <c r="U86" s="1">
        <v>3.2215234337396099</v>
      </c>
      <c r="V86" s="1">
        <v>5.8461670105208698E-4</v>
      </c>
      <c r="W86" s="1">
        <v>6.2305885953778601E-4</v>
      </c>
    </row>
    <row r="87" spans="1:23" x14ac:dyDescent="0.25">
      <c r="A87" s="3">
        <v>45716</v>
      </c>
      <c r="B87" s="4">
        <v>2255971.9087563502</v>
      </c>
      <c r="C87" s="4">
        <v>2079586.78573386</v>
      </c>
      <c r="D87" s="4">
        <v>-3287.6111627906898</v>
      </c>
      <c r="E87" s="4">
        <v>1200</v>
      </c>
      <c r="F87" s="4">
        <v>12226.6</v>
      </c>
      <c r="G87" s="4">
        <v>-4961.6999999995796</v>
      </c>
      <c r="H87" s="4">
        <v>1209683.69702354</v>
      </c>
      <c r="I87" s="4">
        <v>-38846.406654732396</v>
      </c>
      <c r="J87" s="1">
        <v>-1.82944805951917E-2</v>
      </c>
      <c r="K87" s="1">
        <v>-2.6447853490307899E-2</v>
      </c>
      <c r="L87" s="1">
        <v>3.3387108506768903E-2</v>
      </c>
      <c r="M87" s="1">
        <v>9.8999999999999904E-3</v>
      </c>
      <c r="N87" s="1">
        <v>1.3100000000000001E-2</v>
      </c>
      <c r="O87" s="1">
        <v>-3.67880248636298E-3</v>
      </c>
      <c r="P87" s="1">
        <v>1.5287320278633001</v>
      </c>
      <c r="Q87" s="1">
        <v>0.60727467867333196</v>
      </c>
      <c r="R87" s="1">
        <v>0.40199239171992801</v>
      </c>
      <c r="S87" s="1">
        <v>0.73846639330564501</v>
      </c>
      <c r="T87" s="1">
        <v>0.465483870911437</v>
      </c>
      <c r="U87" s="1">
        <v>3.2059932828353301</v>
      </c>
      <c r="V87" s="1">
        <v>5.3192151699332205E-4</v>
      </c>
      <c r="W87" s="1">
        <v>5.77037711641609E-4</v>
      </c>
    </row>
    <row r="88" spans="1:23" x14ac:dyDescent="0.25">
      <c r="A88" s="3">
        <v>45747</v>
      </c>
      <c r="B88" s="4">
        <v>2293497.0677630901</v>
      </c>
      <c r="C88" s="4">
        <v>2223665.3574910201</v>
      </c>
      <c r="D88" s="4">
        <v>0</v>
      </c>
      <c r="E88" s="4">
        <v>1472</v>
      </c>
      <c r="F88" s="4">
        <v>0</v>
      </c>
      <c r="G88" s="4">
        <v>36053.159006741298</v>
      </c>
      <c r="H88" s="4">
        <v>1245736.85603028</v>
      </c>
      <c r="I88" s="4">
        <v>108025.41275041499</v>
      </c>
      <c r="J88" s="1">
        <v>5.1060395706255403E-2</v>
      </c>
      <c r="K88" s="1">
        <v>6.0757823760779699E-2</v>
      </c>
      <c r="L88" s="1">
        <v>6.1384378122169202E-2</v>
      </c>
      <c r="M88" s="1">
        <v>9.5999999999999992E-3</v>
      </c>
      <c r="N88" s="1">
        <v>5.5999999999999999E-3</v>
      </c>
      <c r="O88" s="1">
        <v>-8.6580086580086493E-2</v>
      </c>
      <c r="P88" s="1">
        <v>1.6578500858410801</v>
      </c>
      <c r="Q88" s="1">
        <v>0.70492919033532997</v>
      </c>
      <c r="R88" s="1">
        <v>0.48805282281766899</v>
      </c>
      <c r="S88" s="1">
        <v>0.75515567068138001</v>
      </c>
      <c r="T88" s="1">
        <v>0.47369058058854102</v>
      </c>
      <c r="U88" s="1">
        <v>2.84183802025218</v>
      </c>
      <c r="V88" s="1">
        <v>6.4181464222916004E-4</v>
      </c>
      <c r="W88" s="1">
        <v>6.6197010941469498E-4</v>
      </c>
    </row>
    <row r="89" spans="1:23" x14ac:dyDescent="0.25">
      <c r="A89" s="3">
        <v>45777</v>
      </c>
      <c r="B89" s="4">
        <v>2312485.6067012502</v>
      </c>
      <c r="C89" s="4">
        <v>2332420.9060212402</v>
      </c>
      <c r="D89" s="4">
        <v>540.08100098392595</v>
      </c>
      <c r="E89" s="4">
        <v>1392</v>
      </c>
      <c r="F89" s="4">
        <v>6670.52</v>
      </c>
      <c r="G89" s="4">
        <v>17056.4579371789</v>
      </c>
      <c r="H89" s="4">
        <v>1262793.3139674601</v>
      </c>
      <c r="I89" s="4">
        <v>91699.0905930476</v>
      </c>
      <c r="J89" s="1">
        <v>4.0923906734724902E-2</v>
      </c>
      <c r="K89" s="1">
        <v>3.6903116843236501E-2</v>
      </c>
      <c r="L89" s="1">
        <v>3.0068567531859901E-2</v>
      </c>
      <c r="M89" s="1">
        <v>1.06E-2</v>
      </c>
      <c r="N89" s="1">
        <v>4.3E-3</v>
      </c>
      <c r="O89" s="1">
        <v>-1.21271257318091E-2</v>
      </c>
      <c r="P89" s="1">
        <v>1.7666196948689199</v>
      </c>
      <c r="Q89" s="1">
        <v>0.76784639145571898</v>
      </c>
      <c r="R89" s="1">
        <v>0.532796439611537</v>
      </c>
      <c r="S89" s="1">
        <v>0.77376032079060197</v>
      </c>
      <c r="T89" s="1">
        <v>0.48002745008507097</v>
      </c>
      <c r="U89" s="1">
        <v>2.7952475675393398</v>
      </c>
      <c r="V89" s="1">
        <v>6.0194969255859495E-4</v>
      </c>
      <c r="W89" s="1">
        <v>5.9680480328678598E-4</v>
      </c>
    </row>
    <row r="90" spans="1:23" x14ac:dyDescent="0.25">
      <c r="A90" s="3">
        <v>45808</v>
      </c>
      <c r="B90" s="4">
        <v>2321402.6369149899</v>
      </c>
      <c r="C90" s="4">
        <v>2419532.1992968898</v>
      </c>
      <c r="D90" s="4">
        <v>0</v>
      </c>
      <c r="E90" s="4">
        <v>1502</v>
      </c>
      <c r="F90" s="4">
        <v>0</v>
      </c>
      <c r="G90" s="4">
        <v>7415.0302137332001</v>
      </c>
      <c r="H90" s="4">
        <v>1270208.34418119</v>
      </c>
      <c r="I90" s="4">
        <v>79696.263061915</v>
      </c>
      <c r="J90" s="1">
        <v>3.4060620160468902E-2</v>
      </c>
      <c r="K90" s="1">
        <v>1.4511316605832599E-2</v>
      </c>
      <c r="L90" s="1">
        <v>1.44225472620016E-2</v>
      </c>
      <c r="M90" s="1">
        <v>1.13999999999999E-2</v>
      </c>
      <c r="N90" s="1">
        <v>2.5999999999999999E-3</v>
      </c>
      <c r="O90" s="1">
        <v>6.8999576689713502E-2</v>
      </c>
      <c r="P90" s="1">
        <v>1.86085247742432</v>
      </c>
      <c r="Q90" s="1">
        <v>0.79350017015261198</v>
      </c>
      <c r="R90" s="1">
        <v>0.55490326870486195</v>
      </c>
      <c r="S90" s="1">
        <v>0.79398118844761501</v>
      </c>
      <c r="T90" s="1">
        <v>0.483875521455293</v>
      </c>
      <c r="U90" s="1">
        <v>3.05711804313222</v>
      </c>
      <c r="V90" s="1">
        <v>6.4702261301644297E-4</v>
      </c>
      <c r="W90" s="1">
        <v>6.2078115779425102E-4</v>
      </c>
    </row>
    <row r="91" spans="1:23" x14ac:dyDescent="0.25">
      <c r="A91" s="3">
        <v>45838</v>
      </c>
      <c r="B91" s="4">
        <v>2335656.2896349798</v>
      </c>
      <c r="C91" s="4">
        <v>2463320.5322945002</v>
      </c>
      <c r="D91" s="4">
        <v>0</v>
      </c>
      <c r="E91" s="4">
        <v>1492</v>
      </c>
      <c r="F91" s="4">
        <v>0</v>
      </c>
      <c r="G91" s="4">
        <v>12761.6527199922</v>
      </c>
      <c r="H91" s="4">
        <v>1282969.9969011899</v>
      </c>
      <c r="I91" s="4">
        <v>31026.680277616699</v>
      </c>
      <c r="J91" s="1">
        <v>1.2756139745158299E-2</v>
      </c>
      <c r="K91" s="1">
        <v>1.3340436556299001E-2</v>
      </c>
      <c r="L91" s="1">
        <v>6.3086452706668699E-3</v>
      </c>
      <c r="M91" s="1">
        <v>1.0999999999999999E-2</v>
      </c>
      <c r="N91" s="1">
        <v>2.3999999999999998E-3</v>
      </c>
      <c r="O91" s="1">
        <v>-2.5079197465680499E-3</v>
      </c>
      <c r="P91" s="1">
        <v>1.89734591141663</v>
      </c>
      <c r="Q91" s="1">
        <v>0.81742624538624398</v>
      </c>
      <c r="R91" s="1">
        <v>0.56471260185732097</v>
      </c>
      <c r="S91" s="1">
        <v>0.813714981520539</v>
      </c>
      <c r="T91" s="1">
        <v>0.48743682270678501</v>
      </c>
      <c r="U91" s="1">
        <v>3.0469431166776899</v>
      </c>
      <c r="V91" s="1">
        <v>6.3879261971082596E-4</v>
      </c>
      <c r="W91" s="1">
        <v>6.0568650341668998E-4</v>
      </c>
    </row>
    <row r="92" spans="1:23" x14ac:dyDescent="0.25">
      <c r="A92" s="3">
        <v>45869</v>
      </c>
      <c r="B92" s="4">
        <v>2326174.5537996502</v>
      </c>
      <c r="C92" s="4">
        <v>2352902.6849984098</v>
      </c>
      <c r="D92" s="4">
        <v>7488.6201333287399</v>
      </c>
      <c r="E92" s="4">
        <v>1512</v>
      </c>
      <c r="F92" s="4">
        <v>94855.92</v>
      </c>
      <c r="G92" s="4">
        <v>-18482.355968661101</v>
      </c>
      <c r="H92" s="4">
        <v>1264487.6409325299</v>
      </c>
      <c r="I92" s="4">
        <v>-91935.4913274305</v>
      </c>
      <c r="J92" s="1">
        <v>-3.7321773647457701E-2</v>
      </c>
      <c r="K92" s="1">
        <v>-4.1654963811169898E-2</v>
      </c>
      <c r="L92" s="1">
        <v>-1.36031185907978E-2</v>
      </c>
      <c r="M92" s="1">
        <v>1.2800000000000001E-2</v>
      </c>
      <c r="N92" s="1">
        <v>2.5999999999999999E-3</v>
      </c>
      <c r="O92" s="1">
        <v>5.33545057562523E-2</v>
      </c>
      <c r="P92" s="1">
        <v>1.7892118231323499</v>
      </c>
      <c r="Q92" s="1">
        <v>0.74172142090520998</v>
      </c>
      <c r="R92" s="1">
        <v>0.54342763077374001</v>
      </c>
      <c r="S92" s="1">
        <v>0.83693053328400202</v>
      </c>
      <c r="T92" s="1">
        <v>0.49130415844582298</v>
      </c>
      <c r="U92" s="1">
        <v>3.2628657664917</v>
      </c>
      <c r="V92" s="1">
        <v>6.4999421368884297E-4</v>
      </c>
      <c r="W92" s="1">
        <v>6.4261051238547796E-4</v>
      </c>
    </row>
    <row r="93" spans="1:23" x14ac:dyDescent="0.25">
      <c r="A93" s="3">
        <v>45900</v>
      </c>
      <c r="B93" s="4">
        <v>2328943.0689300499</v>
      </c>
      <c r="C93" s="4">
        <v>2469801.4720985098</v>
      </c>
      <c r="D93" s="4">
        <v>411.30657944155303</v>
      </c>
      <c r="E93" s="4">
        <v>2053</v>
      </c>
      <c r="F93" s="4">
        <v>16300</v>
      </c>
      <c r="G93" s="4">
        <v>304.20855095956898</v>
      </c>
      <c r="H93" s="4">
        <v>1264791.84948349</v>
      </c>
      <c r="I93" s="4">
        <v>116594.578549135</v>
      </c>
      <c r="J93" s="1">
        <v>4.9547100541285E-2</v>
      </c>
      <c r="K93" s="1">
        <v>6.2755972375649005E-2</v>
      </c>
      <c r="L93" s="1">
        <v>1.16344018917526E-2</v>
      </c>
      <c r="M93" s="1">
        <v>1.1599999999999999E-2</v>
      </c>
      <c r="N93" s="1">
        <v>-1.1000000000000001E-3</v>
      </c>
      <c r="O93" s="1">
        <v>-1.04519986935001E-2</v>
      </c>
      <c r="P93" s="1">
        <v>1.92740918176403</v>
      </c>
      <c r="Q93" s="1">
        <v>0.85102484228161301</v>
      </c>
      <c r="R93" s="1">
        <v>0.56138448812099795</v>
      </c>
      <c r="S93" s="1">
        <v>0.858238927470096</v>
      </c>
      <c r="T93" s="1">
        <v>0.48966372387153201</v>
      </c>
      <c r="U93" s="1">
        <v>3.2183102990697598</v>
      </c>
      <c r="V93" s="1">
        <v>8.8151575166806203E-4</v>
      </c>
      <c r="W93" s="1">
        <v>8.3124090061199602E-4</v>
      </c>
    </row>
    <row r="94" spans="1:23" x14ac:dyDescent="0.25">
      <c r="A94" s="3">
        <v>45930</v>
      </c>
      <c r="B94" s="4">
        <v>2326172.9676733902</v>
      </c>
      <c r="C94" s="4">
        <v>2550355.92938965</v>
      </c>
      <c r="D94" s="4">
        <v>212.868743343452</v>
      </c>
      <c r="E94" s="4">
        <v>1945</v>
      </c>
      <c r="F94" s="4">
        <v>5000</v>
      </c>
      <c r="G94" s="4">
        <v>-4927.9700000003704</v>
      </c>
      <c r="H94" s="4">
        <v>1259863.87948349</v>
      </c>
      <c r="I94" s="4">
        <v>85482.427291148895</v>
      </c>
      <c r="J94" s="1">
        <v>3.46110520448095E-2</v>
      </c>
      <c r="K94" s="1">
        <v>3.4047036528970002E-2</v>
      </c>
      <c r="L94" s="1">
        <v>3.2528227942483397E-2</v>
      </c>
      <c r="M94" s="1">
        <v>1.21999999999999E-2</v>
      </c>
      <c r="N94" s="1">
        <v>4.7999999999999996E-3</v>
      </c>
      <c r="O94" s="1">
        <v>1.5107274343024E-2</v>
      </c>
      <c r="P94" s="1">
        <v>2.02872989331052</v>
      </c>
      <c r="Q94" s="1">
        <v>0.914046752702806</v>
      </c>
      <c r="R94" s="1">
        <v>0.61217355865645495</v>
      </c>
      <c r="S94" s="1">
        <v>0.88090944238523095</v>
      </c>
      <c r="T94" s="1">
        <v>0.49681410974611501</v>
      </c>
      <c r="U94" s="1">
        <v>3.2820374700218098</v>
      </c>
      <c r="V94" s="1">
        <v>8.3613730665323702E-4</v>
      </c>
      <c r="W94" s="1">
        <v>7.6263864882007595E-4</v>
      </c>
    </row>
    <row r="95" spans="1:23" x14ac:dyDescent="0.25">
      <c r="A95" s="3">
        <v>45961</v>
      </c>
      <c r="B95" s="4">
        <v>2296479.6165837999</v>
      </c>
      <c r="C95" s="4">
        <v>2553823.5525207398</v>
      </c>
      <c r="D95" s="4">
        <v>-299.31186758628797</v>
      </c>
      <c r="E95" s="4">
        <v>10000</v>
      </c>
      <c r="F95" s="4">
        <v>31370.832788</v>
      </c>
      <c r="G95" s="4">
        <v>-39394.039221999701</v>
      </c>
      <c r="H95" s="4">
        <v>1220469.8402614901</v>
      </c>
      <c r="I95" s="4">
        <v>42861.662353086802</v>
      </c>
      <c r="J95" s="1">
        <v>1.6806149235547699E-2</v>
      </c>
      <c r="K95" s="1">
        <v>2.25866230844451E-2</v>
      </c>
      <c r="L95" s="1">
        <v>1.15342136554263E-3</v>
      </c>
      <c r="M95" s="1">
        <v>1.2800000000000001E-2</v>
      </c>
      <c r="N95" s="1">
        <v>4.7999999999999996E-3</v>
      </c>
      <c r="O95" s="1">
        <v>3.3841920960480103E-2</v>
      </c>
      <c r="P95" s="1">
        <v>2.0796311798916598</v>
      </c>
      <c r="Q95" s="1">
        <v>0.95727860527211095</v>
      </c>
      <c r="R95" s="1">
        <v>0.61403307408397301</v>
      </c>
      <c r="S95" s="1">
        <v>0.90498508324776195</v>
      </c>
      <c r="T95" s="1">
        <v>0.50399881747289699</v>
      </c>
      <c r="U95" s="1">
        <v>3.4269498436321002</v>
      </c>
      <c r="V95" s="1">
        <v>4.3544910774674199E-3</v>
      </c>
      <c r="W95" s="1">
        <v>3.9156973041968796E-3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1B69A-8684-4381-897E-077F96FB2DB3}">
  <sheetPr>
    <tabColor rgb="FFFFC000"/>
  </sheetPr>
  <dimension ref="A1:O25"/>
  <sheetViews>
    <sheetView showGridLines="0" zoomScale="110" zoomScaleNormal="110" workbookViewId="0">
      <pane xSplit="2" ySplit="1" topLeftCell="C2" activePane="bottomRight" state="frozen"/>
      <selection pane="topRight" activeCell="B1" sqref="B1"/>
      <selection pane="bottomLeft" activeCell="A3" sqref="A3"/>
      <selection pane="bottomRight" activeCell="F30" sqref="F30"/>
    </sheetView>
  </sheetViews>
  <sheetFormatPr defaultColWidth="10.625" defaultRowHeight="12.75" x14ac:dyDescent="0.2"/>
  <cols>
    <col min="1" max="1" width="14.5" style="9" bestFit="1" customWidth="1"/>
    <col min="2" max="2" width="14.625" style="18" customWidth="1"/>
    <col min="3" max="3" width="14.5" style="18" customWidth="1"/>
    <col min="4" max="15" width="9.875" style="18" bestFit="1" customWidth="1"/>
    <col min="16" max="16384" width="10.625" style="9"/>
  </cols>
  <sheetData>
    <row r="1" spans="1:15" x14ac:dyDescent="0.2">
      <c r="A1" s="19" t="s">
        <v>183</v>
      </c>
      <c r="B1" s="20" t="s">
        <v>15</v>
      </c>
      <c r="C1" s="20" t="s">
        <v>212</v>
      </c>
      <c r="D1" s="21">
        <v>45261</v>
      </c>
      <c r="E1" s="21">
        <v>45292</v>
      </c>
      <c r="F1" s="21">
        <v>45323</v>
      </c>
      <c r="G1" s="21">
        <v>45352</v>
      </c>
      <c r="H1" s="21">
        <v>45383</v>
      </c>
      <c r="I1" s="21">
        <v>45413</v>
      </c>
      <c r="J1" s="21">
        <v>45627</v>
      </c>
      <c r="K1" s="21">
        <v>45778</v>
      </c>
      <c r="L1" s="21">
        <v>45809</v>
      </c>
      <c r="M1" s="21">
        <v>45839</v>
      </c>
      <c r="N1" s="21">
        <v>45870</v>
      </c>
      <c r="O1" s="21">
        <v>45960</v>
      </c>
    </row>
    <row r="2" spans="1:15" x14ac:dyDescent="0.2">
      <c r="A2" s="22" t="s">
        <v>17</v>
      </c>
      <c r="B2" s="23" t="s">
        <v>1</v>
      </c>
      <c r="C2" s="24" t="s">
        <v>18</v>
      </c>
      <c r="D2" s="25">
        <v>248811.88</v>
      </c>
      <c r="E2" s="25">
        <v>269742.86</v>
      </c>
      <c r="F2" s="25">
        <v>195060.68</v>
      </c>
      <c r="G2" s="25">
        <v>194570.44</v>
      </c>
      <c r="H2" s="25">
        <v>192301.82</v>
      </c>
      <c r="I2" s="25">
        <v>196245.19930030222</v>
      </c>
      <c r="J2" s="26">
        <f>164221.974642042+J10+(J12*60%)</f>
        <v>268050.50697965594</v>
      </c>
      <c r="K2" s="26">
        <f>176664.263036861+K10+(K12*60%)</f>
        <v>295157.62524343375</v>
      </c>
      <c r="L2" s="26">
        <f>180165.3967+L10+(L12*60%)</f>
        <v>306116.65310490283</v>
      </c>
      <c r="M2" s="26">
        <f>103183.24+M10+(M12*60%)</f>
        <v>227995.02520254432</v>
      </c>
      <c r="N2" s="27">
        <v>226439.07507408108</v>
      </c>
      <c r="O2" s="27">
        <v>231983.36981103296</v>
      </c>
    </row>
    <row r="3" spans="1:15" x14ac:dyDescent="0.2">
      <c r="A3" s="22" t="s">
        <v>17</v>
      </c>
      <c r="B3" s="23" t="s">
        <v>1</v>
      </c>
      <c r="C3" s="24" t="s">
        <v>19</v>
      </c>
      <c r="D3" s="25">
        <v>74535.41</v>
      </c>
      <c r="E3" s="25">
        <v>78438.740000000005</v>
      </c>
      <c r="F3" s="25">
        <v>5077.87</v>
      </c>
      <c r="G3" s="25">
        <v>21717.79</v>
      </c>
      <c r="H3" s="25">
        <v>22795.19</v>
      </c>
      <c r="I3" s="25">
        <v>10004.0487175485</v>
      </c>
      <c r="J3" s="25">
        <v>0</v>
      </c>
      <c r="K3" s="25">
        <v>44477.38</v>
      </c>
      <c r="L3" s="25">
        <v>37395.550000000003</v>
      </c>
      <c r="M3" s="25">
        <v>39753.89</v>
      </c>
      <c r="N3" s="25">
        <v>18878.669999999998</v>
      </c>
      <c r="O3" s="25">
        <v>14237.31</v>
      </c>
    </row>
    <row r="4" spans="1:15" x14ac:dyDescent="0.2">
      <c r="A4" s="22" t="s">
        <v>17</v>
      </c>
      <c r="B4" s="23" t="s">
        <v>1</v>
      </c>
      <c r="C4" s="24" t="s">
        <v>20</v>
      </c>
      <c r="D4" s="25">
        <v>27500</v>
      </c>
      <c r="E4" s="25">
        <v>26535</v>
      </c>
      <c r="F4" s="25">
        <v>26537.5</v>
      </c>
      <c r="G4" s="25">
        <v>26650</v>
      </c>
      <c r="H4" s="25">
        <v>26475</v>
      </c>
      <c r="I4" s="25">
        <v>28045</v>
      </c>
      <c r="J4" s="25">
        <v>56118</v>
      </c>
      <c r="K4" s="25">
        <v>66917.759999999995</v>
      </c>
      <c r="L4" s="25">
        <v>65627.520000000004</v>
      </c>
      <c r="M4" s="25">
        <v>96100</v>
      </c>
      <c r="N4" s="25">
        <v>96970</v>
      </c>
      <c r="O4" s="25">
        <v>98070</v>
      </c>
    </row>
    <row r="5" spans="1:15" x14ac:dyDescent="0.2">
      <c r="A5" s="22" t="s">
        <v>17</v>
      </c>
      <c r="B5" s="28" t="s">
        <v>2</v>
      </c>
      <c r="C5" s="29" t="s">
        <v>21</v>
      </c>
      <c r="D5" s="25">
        <v>382978.72</v>
      </c>
      <c r="E5" s="25">
        <v>265579</v>
      </c>
      <c r="F5" s="25">
        <v>228213</v>
      </c>
      <c r="G5" s="25">
        <v>200627</v>
      </c>
      <c r="H5" s="25">
        <v>57017</v>
      </c>
      <c r="I5" s="25">
        <v>0</v>
      </c>
      <c r="J5" s="26">
        <f>J11</f>
        <v>155667.4657771849</v>
      </c>
      <c r="K5" s="26">
        <f>K11</f>
        <v>194623.82334451281</v>
      </c>
      <c r="L5" s="26">
        <f>L11</f>
        <v>196185.87297121418</v>
      </c>
      <c r="M5" s="26">
        <f>M11</f>
        <v>184313.08107280021</v>
      </c>
      <c r="N5" s="27">
        <v>198279.1734563277</v>
      </c>
      <c r="O5" s="27">
        <v>204774.00230335089</v>
      </c>
    </row>
    <row r="6" spans="1:15" x14ac:dyDescent="0.2">
      <c r="A6" s="22" t="s">
        <v>17</v>
      </c>
      <c r="B6" s="28" t="s">
        <v>2</v>
      </c>
      <c r="C6" s="29" t="s">
        <v>22</v>
      </c>
      <c r="D6" s="25">
        <v>90200</v>
      </c>
      <c r="E6" s="25">
        <v>85690</v>
      </c>
      <c r="F6" s="25">
        <v>82335</v>
      </c>
      <c r="G6" s="25">
        <v>85030</v>
      </c>
      <c r="H6" s="25">
        <v>84029</v>
      </c>
      <c r="I6" s="25">
        <v>83380</v>
      </c>
      <c r="J6" s="25">
        <v>69267</v>
      </c>
      <c r="K6" s="25">
        <v>68900</v>
      </c>
      <c r="L6" s="25">
        <v>68090</v>
      </c>
      <c r="M6" s="25">
        <v>83227.5</v>
      </c>
      <c r="N6" s="25">
        <v>82957.5</v>
      </c>
      <c r="O6" s="25">
        <v>78975</v>
      </c>
    </row>
    <row r="7" spans="1:15" x14ac:dyDescent="0.2">
      <c r="A7" s="22" t="s">
        <v>17</v>
      </c>
      <c r="B7" s="28" t="s">
        <v>2</v>
      </c>
      <c r="C7" s="29" t="s">
        <v>23</v>
      </c>
      <c r="D7" s="25">
        <v>1278698.1599999999</v>
      </c>
      <c r="E7" s="25">
        <v>1183682.83</v>
      </c>
      <c r="F7" s="25">
        <v>1271052.6000000001</v>
      </c>
      <c r="G7" s="25">
        <v>1328348.08</v>
      </c>
      <c r="H7" s="25">
        <v>1341279.68</v>
      </c>
      <c r="I7" s="25">
        <v>1410717</v>
      </c>
      <c r="J7" s="25">
        <v>1336738.8799999999</v>
      </c>
      <c r="K7" s="25">
        <v>1483579.3900000001</v>
      </c>
      <c r="L7" s="25">
        <v>1555586.26</v>
      </c>
      <c r="M7" s="25">
        <v>1481053.77</v>
      </c>
      <c r="N7" s="25">
        <v>1579852.5899999999</v>
      </c>
      <c r="O7" s="25">
        <v>1684406.08</v>
      </c>
    </row>
    <row r="8" spans="1:15" x14ac:dyDescent="0.2">
      <c r="A8" s="22" t="s">
        <v>17</v>
      </c>
      <c r="B8" s="30" t="s">
        <v>3</v>
      </c>
      <c r="C8" s="31" t="s">
        <v>24</v>
      </c>
      <c r="D8" s="25">
        <v>14747.2</v>
      </c>
      <c r="E8" s="25">
        <v>15135.01</v>
      </c>
      <c r="F8" s="25">
        <v>24086.81</v>
      </c>
      <c r="G8" s="25">
        <v>23317.17</v>
      </c>
      <c r="H8" s="25">
        <v>20362.060000000001</v>
      </c>
      <c r="I8" s="25">
        <v>26293.094916622274</v>
      </c>
      <c r="J8" s="25"/>
      <c r="K8" s="25" t="s">
        <v>25</v>
      </c>
      <c r="L8" s="25" t="s">
        <v>25</v>
      </c>
      <c r="M8" s="25">
        <v>0</v>
      </c>
      <c r="N8" s="25" t="s">
        <v>25</v>
      </c>
      <c r="O8" s="25" t="s">
        <v>25</v>
      </c>
    </row>
    <row r="9" spans="1:15" x14ac:dyDescent="0.2">
      <c r="A9" s="22" t="s">
        <v>17</v>
      </c>
      <c r="B9" s="30" t="s">
        <v>3</v>
      </c>
      <c r="C9" s="31" t="s">
        <v>26</v>
      </c>
      <c r="D9" s="32">
        <v>0</v>
      </c>
      <c r="E9" s="32">
        <v>0</v>
      </c>
      <c r="F9" s="32">
        <v>0</v>
      </c>
      <c r="G9" s="32">
        <v>0</v>
      </c>
      <c r="H9" s="32">
        <v>0</v>
      </c>
      <c r="I9" s="32" t="s">
        <v>25</v>
      </c>
      <c r="J9" s="32" t="s">
        <v>25</v>
      </c>
      <c r="K9" s="25">
        <v>8159</v>
      </c>
      <c r="L9" s="25">
        <v>8068</v>
      </c>
      <c r="M9" s="25">
        <v>8673</v>
      </c>
      <c r="N9" s="25">
        <v>8849</v>
      </c>
      <c r="O9" s="25">
        <v>7437</v>
      </c>
    </row>
    <row r="10" spans="1:15" x14ac:dyDescent="0.2">
      <c r="A10" s="22" t="s">
        <v>17</v>
      </c>
      <c r="B10" s="33" t="s">
        <v>5</v>
      </c>
      <c r="C10" s="34" t="s">
        <v>27</v>
      </c>
      <c r="D10" s="25">
        <v>7155.71</v>
      </c>
      <c r="E10" s="25">
        <v>7220.29</v>
      </c>
      <c r="F10" s="25">
        <v>7237.44</v>
      </c>
      <c r="G10" s="25">
        <v>10329.200000000001</v>
      </c>
      <c r="H10" s="25">
        <v>10222.530000000001</v>
      </c>
      <c r="I10" s="25">
        <v>11255.3080670941</v>
      </c>
      <c r="J10" s="35">
        <v>80682.197258750006</v>
      </c>
      <c r="K10" s="35">
        <v>93251.767942369101</v>
      </c>
      <c r="L10" s="35">
        <v>98315.670894085109</v>
      </c>
      <c r="M10" s="35">
        <v>97149.661945856205</v>
      </c>
      <c r="N10" s="35">
        <v>0</v>
      </c>
      <c r="O10" s="35">
        <v>0</v>
      </c>
    </row>
    <row r="11" spans="1:15" x14ac:dyDescent="0.2">
      <c r="A11" s="22" t="s">
        <v>17</v>
      </c>
      <c r="B11" s="33" t="s">
        <v>5</v>
      </c>
      <c r="C11" s="34" t="s">
        <v>28</v>
      </c>
      <c r="D11" s="25">
        <v>212142.2</v>
      </c>
      <c r="E11" s="25">
        <v>202994.53</v>
      </c>
      <c r="F11" s="25">
        <v>189909.37</v>
      </c>
      <c r="G11" s="25">
        <v>205805.85</v>
      </c>
      <c r="H11" s="25">
        <v>194949.12</v>
      </c>
      <c r="I11" s="25">
        <v>191916.79202135481</v>
      </c>
      <c r="J11" s="35">
        <v>155667.4657771849</v>
      </c>
      <c r="K11" s="35">
        <v>194623.82334451281</v>
      </c>
      <c r="L11" s="35">
        <v>196185.87297121418</v>
      </c>
      <c r="M11" s="35">
        <v>184313.08107280021</v>
      </c>
      <c r="N11" s="35">
        <v>0</v>
      </c>
      <c r="O11" s="35">
        <v>0</v>
      </c>
    </row>
    <row r="12" spans="1:15" x14ac:dyDescent="0.2">
      <c r="A12" s="22" t="s">
        <v>17</v>
      </c>
      <c r="B12" s="33" t="s">
        <v>5</v>
      </c>
      <c r="C12" s="34" t="s">
        <v>29</v>
      </c>
      <c r="D12" s="25">
        <v>27421.61</v>
      </c>
      <c r="E12" s="25">
        <v>27465.13</v>
      </c>
      <c r="F12" s="25">
        <v>27956.29</v>
      </c>
      <c r="G12" s="25">
        <v>31225.51</v>
      </c>
      <c r="H12" s="25">
        <v>30943.07</v>
      </c>
      <c r="I12" s="25">
        <v>32416.797545234102</v>
      </c>
      <c r="J12" s="35">
        <v>38577.225131439904</v>
      </c>
      <c r="K12" s="35">
        <v>42069.323773672797</v>
      </c>
      <c r="L12" s="35">
        <v>46059.309184696198</v>
      </c>
      <c r="M12" s="35">
        <v>46103.538761146803</v>
      </c>
      <c r="N12" s="35">
        <v>0</v>
      </c>
      <c r="O12" s="35">
        <v>0</v>
      </c>
    </row>
    <row r="13" spans="1:15" x14ac:dyDescent="0.2">
      <c r="A13" s="22" t="s">
        <v>17</v>
      </c>
      <c r="B13" s="33" t="s">
        <v>5</v>
      </c>
      <c r="C13" s="34" t="s">
        <v>0</v>
      </c>
      <c r="D13" s="25">
        <v>43903.11</v>
      </c>
      <c r="E13" s="25">
        <v>46211.71</v>
      </c>
      <c r="F13" s="25">
        <v>48095.24</v>
      </c>
      <c r="G13" s="25">
        <v>49946.69</v>
      </c>
      <c r="H13" s="25">
        <v>46373.43</v>
      </c>
      <c r="I13" s="25">
        <v>48277.499999999898</v>
      </c>
      <c r="J13" s="27">
        <v>65260.55</v>
      </c>
      <c r="K13" s="27">
        <v>68739.990000000005</v>
      </c>
      <c r="L13" s="27">
        <v>73357.02</v>
      </c>
      <c r="M13" s="27">
        <v>77013.070000000007</v>
      </c>
      <c r="N13" s="27">
        <v>79355.7</v>
      </c>
      <c r="O13" s="27">
        <v>84066.55</v>
      </c>
    </row>
    <row r="14" spans="1:15" x14ac:dyDescent="0.2">
      <c r="A14" s="22" t="s">
        <v>17</v>
      </c>
      <c r="B14" s="36" t="s">
        <v>4</v>
      </c>
      <c r="C14" s="37" t="s">
        <v>30</v>
      </c>
      <c r="D14" s="25">
        <v>78351.09</v>
      </c>
      <c r="E14" s="25">
        <v>81749.73</v>
      </c>
      <c r="F14" s="25">
        <v>84120.57</v>
      </c>
      <c r="G14" s="25">
        <v>88306.78</v>
      </c>
      <c r="H14" s="25">
        <v>86580.42</v>
      </c>
      <c r="I14" s="25">
        <v>91280.60098299988</v>
      </c>
      <c r="J14" s="26">
        <f>117153.920027056+(J12*40%)</f>
        <v>132584.81007963195</v>
      </c>
      <c r="K14" s="26">
        <f>118856.327096289+(K12*40%)</f>
        <v>135684.05660575812</v>
      </c>
      <c r="L14" s="26">
        <f>122877.748290939+(L12*40%)</f>
        <v>141301.47196481747</v>
      </c>
      <c r="M14" s="26">
        <f>121647.52+(M12*40%)</f>
        <v>140088.93550445873</v>
      </c>
      <c r="N14" s="27">
        <v>18492.44589599032</v>
      </c>
      <c r="O14" s="27">
        <v>19100.112005201721</v>
      </c>
    </row>
    <row r="15" spans="1:15" x14ac:dyDescent="0.2">
      <c r="A15" s="22" t="s">
        <v>17</v>
      </c>
      <c r="B15" s="36" t="s">
        <v>4</v>
      </c>
      <c r="C15" s="37" t="s">
        <v>31</v>
      </c>
      <c r="D15" s="25">
        <v>14578.59</v>
      </c>
      <c r="E15" s="25">
        <v>14997.21</v>
      </c>
      <c r="F15" s="25">
        <v>15012.21</v>
      </c>
      <c r="G15" s="25">
        <v>15373.76</v>
      </c>
      <c r="H15" s="25">
        <v>15477.72</v>
      </c>
      <c r="I15" s="25">
        <v>16099.5442200384</v>
      </c>
      <c r="J15" s="26">
        <v>0</v>
      </c>
      <c r="K15" s="26">
        <v>0</v>
      </c>
      <c r="L15" s="26">
        <v>10397.0671801757</v>
      </c>
      <c r="M15" s="26">
        <v>10291.640918273901</v>
      </c>
      <c r="N15" s="27">
        <v>26885.589796829201</v>
      </c>
      <c r="O15" s="27">
        <v>0</v>
      </c>
    </row>
    <row r="16" spans="1:15" x14ac:dyDescent="0.2">
      <c r="A16" s="22" t="s">
        <v>17</v>
      </c>
      <c r="B16" s="36" t="s">
        <v>4</v>
      </c>
      <c r="C16" s="37" t="s">
        <v>32</v>
      </c>
      <c r="D16" s="25"/>
      <c r="E16" s="25"/>
      <c r="F16" s="25"/>
      <c r="G16" s="25"/>
      <c r="H16" s="25"/>
      <c r="I16" s="25"/>
      <c r="J16" s="26"/>
      <c r="K16" s="26"/>
      <c r="L16" s="26"/>
      <c r="M16" s="26"/>
      <c r="N16" s="27">
        <v>78049.203724765699</v>
      </c>
      <c r="O16" s="27">
        <v>80953.574699878605</v>
      </c>
    </row>
    <row r="17" spans="1:15" x14ac:dyDescent="0.2">
      <c r="A17" s="22" t="s">
        <v>17</v>
      </c>
      <c r="B17" s="36" t="s">
        <v>4</v>
      </c>
      <c r="C17" s="37" t="s">
        <v>33</v>
      </c>
      <c r="D17" s="25"/>
      <c r="E17" s="25"/>
      <c r="F17" s="25"/>
      <c r="G17" s="25"/>
      <c r="H17" s="25"/>
      <c r="I17" s="25"/>
      <c r="J17" s="26"/>
      <c r="K17" s="26"/>
      <c r="L17" s="26"/>
      <c r="M17" s="26"/>
      <c r="N17" s="27">
        <v>20197.039272308299</v>
      </c>
      <c r="O17" s="27">
        <v>20822.626914977998</v>
      </c>
    </row>
    <row r="18" spans="1:15" x14ac:dyDescent="0.2">
      <c r="A18" s="22" t="s">
        <v>17</v>
      </c>
      <c r="B18" s="36" t="s">
        <v>4</v>
      </c>
      <c r="C18" s="37" t="s">
        <v>34</v>
      </c>
      <c r="D18" s="25"/>
      <c r="E18" s="25"/>
      <c r="F18" s="25"/>
      <c r="G18" s="25"/>
      <c r="H18" s="25"/>
      <c r="I18" s="25"/>
      <c r="J18" s="26"/>
      <c r="K18" s="26"/>
      <c r="L18" s="26"/>
      <c r="M18" s="26"/>
      <c r="N18" s="27">
        <v>11456.7017778396</v>
      </c>
      <c r="O18" s="27">
        <v>11706.3055667877</v>
      </c>
    </row>
    <row r="19" spans="1:15" x14ac:dyDescent="0.2">
      <c r="A19" s="22" t="s">
        <v>17</v>
      </c>
      <c r="B19" s="36" t="s">
        <v>4</v>
      </c>
      <c r="C19" s="37" t="s">
        <v>35</v>
      </c>
      <c r="D19" s="25"/>
      <c r="E19" s="25"/>
      <c r="F19" s="25"/>
      <c r="G19" s="25"/>
      <c r="H19" s="25"/>
      <c r="I19" s="25"/>
      <c r="J19" s="26"/>
      <c r="K19" s="26"/>
      <c r="L19" s="26"/>
      <c r="M19" s="26"/>
      <c r="N19" s="27">
        <v>9764.0484595298694</v>
      </c>
      <c r="O19" s="27">
        <v>9525.4451680183392</v>
      </c>
    </row>
    <row r="20" spans="1:15" x14ac:dyDescent="0.2">
      <c r="A20" s="22" t="s">
        <v>17</v>
      </c>
      <c r="B20" s="36" t="s">
        <v>4</v>
      </c>
      <c r="C20" s="37" t="s">
        <v>36</v>
      </c>
      <c r="D20" s="25"/>
      <c r="E20" s="25"/>
      <c r="F20" s="25"/>
      <c r="G20" s="25"/>
      <c r="H20" s="25"/>
      <c r="I20" s="25"/>
      <c r="J20" s="26"/>
      <c r="K20" s="26"/>
      <c r="L20" s="26"/>
      <c r="M20" s="26"/>
      <c r="N20" s="27">
        <v>4213.13643951416</v>
      </c>
      <c r="O20" s="27">
        <v>4613.1530461311304</v>
      </c>
    </row>
    <row r="21" spans="1:15" x14ac:dyDescent="0.2">
      <c r="A21" s="32" t="s">
        <v>40</v>
      </c>
      <c r="B21" s="32" t="s">
        <v>213</v>
      </c>
      <c r="C21" s="32" t="s">
        <v>37</v>
      </c>
      <c r="D21" s="25">
        <v>700000</v>
      </c>
      <c r="E21" s="25">
        <v>700000</v>
      </c>
      <c r="F21" s="25">
        <v>700000</v>
      </c>
      <c r="G21" s="25">
        <v>700000</v>
      </c>
      <c r="H21" s="25">
        <v>700000</v>
      </c>
      <c r="I21" s="25">
        <v>700000</v>
      </c>
      <c r="J21" s="25">
        <v>800000</v>
      </c>
      <c r="K21" s="25">
        <v>800000</v>
      </c>
      <c r="L21" s="25">
        <v>800000</v>
      </c>
      <c r="M21" s="25">
        <v>800000</v>
      </c>
      <c r="N21" s="25">
        <v>800000</v>
      </c>
      <c r="O21" s="25">
        <v>800000</v>
      </c>
    </row>
    <row r="22" spans="1:15" x14ac:dyDescent="0.2">
      <c r="A22" s="32" t="s">
        <v>40</v>
      </c>
      <c r="B22" s="32" t="s">
        <v>214</v>
      </c>
      <c r="C22" s="32" t="s">
        <v>38</v>
      </c>
      <c r="D22" s="25">
        <v>50000</v>
      </c>
      <c r="E22" s="25">
        <v>50000</v>
      </c>
      <c r="F22" s="25">
        <v>50000</v>
      </c>
      <c r="G22" s="25">
        <v>50000</v>
      </c>
      <c r="H22" s="25">
        <v>50000</v>
      </c>
      <c r="I22" s="25">
        <v>50000</v>
      </c>
      <c r="J22" s="25">
        <v>53500</v>
      </c>
      <c r="K22" s="25">
        <v>52000</v>
      </c>
      <c r="L22" s="25">
        <v>50000</v>
      </c>
      <c r="M22" s="25">
        <v>50000</v>
      </c>
      <c r="N22" s="25">
        <v>50000</v>
      </c>
      <c r="O22" s="25">
        <v>50000</v>
      </c>
    </row>
    <row r="23" spans="1:15" x14ac:dyDescent="0.2">
      <c r="A23" s="32" t="s">
        <v>40</v>
      </c>
      <c r="B23" s="32" t="s">
        <v>214</v>
      </c>
      <c r="C23" s="32" t="s">
        <v>39</v>
      </c>
      <c r="D23" s="25">
        <v>120000</v>
      </c>
      <c r="E23" s="25">
        <v>120000</v>
      </c>
      <c r="F23" s="25">
        <v>120000</v>
      </c>
      <c r="G23" s="25">
        <v>120000</v>
      </c>
      <c r="H23" s="25">
        <v>120000</v>
      </c>
      <c r="I23" s="25">
        <v>120000</v>
      </c>
      <c r="J23" s="25">
        <v>111000</v>
      </c>
      <c r="K23" s="25">
        <v>110000</v>
      </c>
      <c r="L23" s="25">
        <v>110000</v>
      </c>
      <c r="M23" s="25">
        <v>110000</v>
      </c>
      <c r="N23" s="25">
        <v>110000</v>
      </c>
      <c r="O23" s="25">
        <v>110000</v>
      </c>
    </row>
    <row r="24" spans="1:15" x14ac:dyDescent="0.2">
      <c r="A24" s="32" t="s">
        <v>40</v>
      </c>
      <c r="B24" s="32" t="s">
        <v>213</v>
      </c>
      <c r="C24" s="32" t="s">
        <v>196</v>
      </c>
      <c r="D24" s="25"/>
      <c r="E24" s="25"/>
      <c r="F24" s="25">
        <v>165000</v>
      </c>
      <c r="G24" s="25">
        <v>165000</v>
      </c>
      <c r="H24" s="25">
        <v>165000</v>
      </c>
      <c r="I24" s="25">
        <v>235000</v>
      </c>
      <c r="J24" s="25">
        <v>260000</v>
      </c>
      <c r="K24" s="25">
        <v>275000</v>
      </c>
      <c r="L24" s="25">
        <v>312596.13</v>
      </c>
      <c r="M24" s="25">
        <v>339649.12</v>
      </c>
      <c r="N24" s="25">
        <v>354000</v>
      </c>
      <c r="O24" s="25">
        <v>365800</v>
      </c>
    </row>
    <row r="25" spans="1:15" x14ac:dyDescent="0.2">
      <c r="A25" s="32" t="s">
        <v>40</v>
      </c>
      <c r="B25" s="32" t="s">
        <v>213</v>
      </c>
      <c r="C25" s="32" t="s">
        <v>197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>
        <v>0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F3BBE-E698-424C-A5D7-2F96373F5E79}">
  <dimension ref="A1:AH50"/>
  <sheetViews>
    <sheetView tabSelected="1" zoomScale="80" zoomScaleNormal="80" workbookViewId="0">
      <pane xSplit="1" ySplit="1" topLeftCell="N2" activePane="bottomRight" state="frozen"/>
      <selection pane="topRight" activeCell="B1" sqref="B1"/>
      <selection pane="bottomLeft" activeCell="A3" sqref="A3"/>
      <selection pane="bottomRight" activeCell="AI6" sqref="AI6"/>
    </sheetView>
  </sheetViews>
  <sheetFormatPr defaultColWidth="11" defaultRowHeight="15.75" x14ac:dyDescent="0.25"/>
  <cols>
    <col min="1" max="1" width="19.5" bestFit="1" customWidth="1"/>
    <col min="2" max="2" width="11.875" bestFit="1" customWidth="1"/>
    <col min="6" max="6" width="8.25" bestFit="1" customWidth="1"/>
    <col min="8" max="8" width="21.5" customWidth="1"/>
    <col min="10" max="10" width="15.25" bestFit="1" customWidth="1"/>
    <col min="11" max="11" width="17.375" customWidth="1"/>
    <col min="12" max="12" width="11.875" bestFit="1" customWidth="1"/>
    <col min="13" max="13" width="8.25" bestFit="1" customWidth="1"/>
    <col min="14" max="14" width="11.875" bestFit="1" customWidth="1"/>
    <col min="15" max="16" width="12.5" bestFit="1" customWidth="1"/>
    <col min="17" max="17" width="7.375" bestFit="1" customWidth="1"/>
    <col min="18" max="18" width="9.25" bestFit="1" customWidth="1"/>
    <col min="19" max="19" width="11.75" bestFit="1" customWidth="1"/>
    <col min="20" max="20" width="8.875" bestFit="1" customWidth="1"/>
    <col min="21" max="22" width="12.5" bestFit="1" customWidth="1"/>
    <col min="23" max="23" width="11.125" bestFit="1" customWidth="1"/>
    <col min="24" max="24" width="10.375" bestFit="1" customWidth="1"/>
    <col min="25" max="25" width="54.625" bestFit="1" customWidth="1"/>
    <col min="26" max="26" width="11.875" bestFit="1" customWidth="1"/>
    <col min="27" max="27" width="12.5" bestFit="1" customWidth="1"/>
    <col min="28" max="28" width="13.25" bestFit="1" customWidth="1"/>
    <col min="29" max="30" width="12.5" bestFit="1" customWidth="1"/>
    <col min="31" max="31" width="12.625" bestFit="1" customWidth="1"/>
    <col min="32" max="32" width="22.375" style="15" bestFit="1" customWidth="1"/>
    <col min="33" max="33" width="15.375" style="15" bestFit="1" customWidth="1"/>
    <col min="34" max="34" width="10.75" style="15" customWidth="1"/>
  </cols>
  <sheetData>
    <row r="1" spans="1:34" x14ac:dyDescent="0.25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42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43</v>
      </c>
      <c r="AA1" t="s">
        <v>99</v>
      </c>
      <c r="AB1" t="s">
        <v>100</v>
      </c>
      <c r="AC1" t="s">
        <v>101</v>
      </c>
      <c r="AD1" t="s">
        <v>102</v>
      </c>
      <c r="AE1" t="s">
        <v>103</v>
      </c>
      <c r="AF1" s="16" t="s">
        <v>182</v>
      </c>
      <c r="AG1" s="16" t="s">
        <v>183</v>
      </c>
      <c r="AH1" s="16" t="s">
        <v>198</v>
      </c>
    </row>
    <row r="2" spans="1:34" x14ac:dyDescent="0.25">
      <c r="A2" t="s">
        <v>6</v>
      </c>
      <c r="B2">
        <v>100</v>
      </c>
      <c r="C2">
        <v>60.33</v>
      </c>
      <c r="D2">
        <v>60.33</v>
      </c>
      <c r="E2">
        <v>10.1620401563131</v>
      </c>
      <c r="F2" t="s">
        <v>111</v>
      </c>
      <c r="G2" t="s">
        <v>113</v>
      </c>
      <c r="H2" t="s">
        <v>114</v>
      </c>
      <c r="I2" t="s">
        <v>16</v>
      </c>
      <c r="J2" t="s">
        <v>115</v>
      </c>
      <c r="K2" t="s">
        <v>116</v>
      </c>
      <c r="L2">
        <v>6033</v>
      </c>
      <c r="M2">
        <v>1</v>
      </c>
      <c r="N2">
        <v>74.37</v>
      </c>
      <c r="O2">
        <v>-4.24</v>
      </c>
      <c r="P2">
        <v>-5.39</v>
      </c>
      <c r="Q2">
        <v>0</v>
      </c>
      <c r="R2">
        <v>0</v>
      </c>
      <c r="S2">
        <v>0</v>
      </c>
      <c r="T2">
        <v>0</v>
      </c>
      <c r="U2">
        <v>0</v>
      </c>
      <c r="V2">
        <v>43.857026274021202</v>
      </c>
      <c r="W2">
        <v>0</v>
      </c>
      <c r="X2" s="3">
        <v>45755</v>
      </c>
      <c r="Y2" t="s">
        <v>117</v>
      </c>
      <c r="Z2">
        <v>7437</v>
      </c>
      <c r="AA2">
        <v>1404</v>
      </c>
      <c r="AB2">
        <v>23.272003978120299</v>
      </c>
      <c r="AC2">
        <v>-424</v>
      </c>
      <c r="AD2">
        <v>-5.3937158122376196</v>
      </c>
      <c r="AE2" t="s">
        <v>118</v>
      </c>
      <c r="AF2" s="17" t="str">
        <f>VLOOKUP(A2,Referencias!A:D,2,0)</f>
        <v>HASH11</v>
      </c>
      <c r="AG2" s="17" t="str">
        <f>VLOOKUP(A2,Referencias!A:D,3,0)</f>
        <v>Cripto_ETF</v>
      </c>
      <c r="AH2" s="17" t="str">
        <f>VLOOKUP(A2,Referencias!A:D,4,0)</f>
        <v>D+2</v>
      </c>
    </row>
    <row r="3" spans="1:34" x14ac:dyDescent="0.25">
      <c r="A3" t="s">
        <v>12</v>
      </c>
      <c r="B3">
        <v>19</v>
      </c>
      <c r="C3">
        <v>146.77063999999999</v>
      </c>
      <c r="D3">
        <v>29.36</v>
      </c>
      <c r="E3">
        <v>29.36</v>
      </c>
      <c r="F3" t="s">
        <v>111</v>
      </c>
      <c r="G3" t="s">
        <v>119</v>
      </c>
      <c r="H3" t="s">
        <v>120</v>
      </c>
      <c r="I3" t="s">
        <v>11</v>
      </c>
      <c r="J3" t="s">
        <v>121</v>
      </c>
      <c r="K3" t="s">
        <v>122</v>
      </c>
      <c r="L3">
        <v>2788.6421599999999</v>
      </c>
      <c r="M3">
        <v>1</v>
      </c>
      <c r="N3">
        <v>242.79752874374299</v>
      </c>
      <c r="O3">
        <v>0.29100882221567298</v>
      </c>
      <c r="P3">
        <v>0.120000411663095</v>
      </c>
      <c r="Q3">
        <v>44.99</v>
      </c>
      <c r="R3">
        <v>-0.13</v>
      </c>
      <c r="S3">
        <v>-0.28999999999999998</v>
      </c>
      <c r="T3">
        <v>0</v>
      </c>
      <c r="U3">
        <v>0</v>
      </c>
      <c r="V3">
        <v>22.815028216187699</v>
      </c>
      <c r="W3">
        <v>0</v>
      </c>
      <c r="X3" s="3">
        <v>45071</v>
      </c>
      <c r="Y3" t="s">
        <v>123</v>
      </c>
      <c r="Z3">
        <v>4613.1530461311304</v>
      </c>
      <c r="AA3">
        <v>1824.5108861311301</v>
      </c>
      <c r="AB3">
        <v>65.426497250229204</v>
      </c>
      <c r="AC3">
        <v>5.5291676220977797</v>
      </c>
      <c r="AD3">
        <v>0.120000411663092</v>
      </c>
      <c r="AE3" t="s">
        <v>124</v>
      </c>
      <c r="AF3" s="17" t="str">
        <f>VLOOKUP(A3,Referencias!A:D,2,0)</f>
        <v>EIMI</v>
      </c>
      <c r="AG3" s="17" t="str">
        <f>VLOOKUP(A3,Referencias!A:D,3,0)</f>
        <v>RV WD_Emerging</v>
      </c>
      <c r="AH3" s="17" t="str">
        <f>VLOOKUP(A3,Referencias!A:D,4,0)</f>
        <v>Sem</v>
      </c>
    </row>
    <row r="4" spans="1:34" x14ac:dyDescent="0.25">
      <c r="A4" t="s">
        <v>13</v>
      </c>
      <c r="B4">
        <v>280</v>
      </c>
      <c r="C4">
        <v>47.149564017857102</v>
      </c>
      <c r="D4">
        <v>8.9739642857142794</v>
      </c>
      <c r="E4">
        <v>8.9739642857142794</v>
      </c>
      <c r="F4" t="s">
        <v>111</v>
      </c>
      <c r="G4" t="s">
        <v>119</v>
      </c>
      <c r="H4" t="s">
        <v>125</v>
      </c>
      <c r="I4" t="s">
        <v>11</v>
      </c>
      <c r="J4" t="s">
        <v>121</v>
      </c>
      <c r="K4" t="s">
        <v>126</v>
      </c>
      <c r="L4">
        <v>13201.877925000001</v>
      </c>
      <c r="M4">
        <v>1</v>
      </c>
      <c r="N4">
        <v>74.366524696350098</v>
      </c>
      <c r="O4">
        <v>-0.15001327059064801</v>
      </c>
      <c r="P4">
        <v>-0.20131540552406901</v>
      </c>
      <c r="Q4">
        <v>13.78</v>
      </c>
      <c r="R4">
        <v>-0.09</v>
      </c>
      <c r="S4">
        <v>-0.61</v>
      </c>
      <c r="T4">
        <v>0</v>
      </c>
      <c r="U4">
        <v>0</v>
      </c>
      <c r="V4">
        <v>22.934001130760802</v>
      </c>
      <c r="W4">
        <v>0</v>
      </c>
      <c r="X4" s="3">
        <v>44957</v>
      </c>
      <c r="Y4" t="s">
        <v>127</v>
      </c>
      <c r="Z4">
        <v>20822.626914977998</v>
      </c>
      <c r="AA4">
        <v>7620.7489899780203</v>
      </c>
      <c r="AB4">
        <v>57.724734566336501</v>
      </c>
      <c r="AC4">
        <v>-42.003715765381401</v>
      </c>
      <c r="AD4">
        <v>-0.20131540552407401</v>
      </c>
      <c r="AE4" t="s">
        <v>124</v>
      </c>
      <c r="AF4" s="17" t="str">
        <f>VLOOKUP(A4,Referencias!A:D,2,0)</f>
        <v>IFSW</v>
      </c>
      <c r="AG4" s="17" t="str">
        <f>VLOOKUP(A4,Referencias!A:D,3,0)</f>
        <v>RV WD_Factor</v>
      </c>
      <c r="AH4" s="17" t="str">
        <f>VLOOKUP(A4,Referencias!A:D,4,0)</f>
        <v>Sem</v>
      </c>
    </row>
    <row r="5" spans="1:34" x14ac:dyDescent="0.25">
      <c r="A5" t="s">
        <v>14</v>
      </c>
      <c r="B5">
        <v>117</v>
      </c>
      <c r="C5">
        <v>422.42978916239298</v>
      </c>
      <c r="D5">
        <v>82.780854700854704</v>
      </c>
      <c r="E5">
        <v>82.780854700854704</v>
      </c>
      <c r="F5" t="s">
        <v>111</v>
      </c>
      <c r="G5" t="s">
        <v>119</v>
      </c>
      <c r="H5" t="s">
        <v>128</v>
      </c>
      <c r="I5" t="s">
        <v>11</v>
      </c>
      <c r="J5" t="s">
        <v>121</v>
      </c>
      <c r="K5" t="s">
        <v>129</v>
      </c>
      <c r="L5">
        <v>49424.285331999999</v>
      </c>
      <c r="M5">
        <v>1</v>
      </c>
      <c r="N5">
        <v>691.91089487075806</v>
      </c>
      <c r="O5">
        <v>-1.8145229183966101</v>
      </c>
      <c r="P5">
        <v>-0.261562121246662</v>
      </c>
      <c r="Q5">
        <v>128.21</v>
      </c>
      <c r="R5">
        <v>-0.86</v>
      </c>
      <c r="S5">
        <v>-0.67</v>
      </c>
      <c r="T5">
        <v>0</v>
      </c>
      <c r="U5">
        <v>0</v>
      </c>
      <c r="V5">
        <v>12.8326615887927</v>
      </c>
      <c r="W5">
        <v>0</v>
      </c>
      <c r="X5" s="3">
        <v>44349</v>
      </c>
      <c r="Y5" t="s">
        <v>130</v>
      </c>
      <c r="Z5">
        <v>80953.574699878605</v>
      </c>
      <c r="AA5">
        <v>31529.289367878599</v>
      </c>
      <c r="AB5">
        <v>63.793111334004202</v>
      </c>
      <c r="AC5">
        <v>-212.29918145240401</v>
      </c>
      <c r="AD5">
        <v>-0.261562121246667</v>
      </c>
      <c r="AE5" t="s">
        <v>124</v>
      </c>
      <c r="AF5" s="17" t="str">
        <f>VLOOKUP(A5,Referencias!A:D,2,0)</f>
        <v>IWDA</v>
      </c>
      <c r="AG5" s="17" t="str">
        <f>VLOOKUP(A5,Referencias!A:D,3,0)</f>
        <v>RV WD_Dev</v>
      </c>
      <c r="AH5" s="17" t="str">
        <f>VLOOKUP(A5,Referencias!A:D,4,0)</f>
        <v>Sem</v>
      </c>
    </row>
    <row r="6" spans="1:34" x14ac:dyDescent="0.25">
      <c r="A6" t="s">
        <v>10</v>
      </c>
      <c r="B6">
        <v>28</v>
      </c>
      <c r="C6">
        <v>289.59915124999998</v>
      </c>
      <c r="D6">
        <v>52.807499999999997</v>
      </c>
      <c r="E6">
        <v>52.807499999999997</v>
      </c>
      <c r="F6" t="s">
        <v>111</v>
      </c>
      <c r="G6" t="s">
        <v>119</v>
      </c>
      <c r="H6" t="s">
        <v>131</v>
      </c>
      <c r="I6" t="s">
        <v>11</v>
      </c>
      <c r="J6" t="s">
        <v>121</v>
      </c>
      <c r="K6" t="s">
        <v>132</v>
      </c>
      <c r="L6">
        <v>8108.7762350000003</v>
      </c>
      <c r="M6">
        <v>1</v>
      </c>
      <c r="N6">
        <v>418.08234167098999</v>
      </c>
      <c r="O6">
        <v>-0.29613185982992701</v>
      </c>
      <c r="P6">
        <v>-7.0780854791783504E-2</v>
      </c>
      <c r="Q6">
        <v>77.47</v>
      </c>
      <c r="R6">
        <v>-0.37</v>
      </c>
      <c r="S6">
        <v>-0.48</v>
      </c>
      <c r="T6">
        <v>0</v>
      </c>
      <c r="U6">
        <v>0</v>
      </c>
      <c r="V6">
        <v>19.908332585499501</v>
      </c>
      <c r="W6">
        <v>0</v>
      </c>
      <c r="X6" s="3">
        <v>44977</v>
      </c>
      <c r="Y6" t="s">
        <v>133</v>
      </c>
      <c r="Z6">
        <v>11706.3055667877</v>
      </c>
      <c r="AA6">
        <v>3597.5293317877099</v>
      </c>
      <c r="AB6">
        <v>44.365872574700703</v>
      </c>
      <c r="AC6">
        <v>-8.2916920752379593</v>
      </c>
      <c r="AD6">
        <v>-7.0780854791782796E-2</v>
      </c>
      <c r="AE6" t="s">
        <v>124</v>
      </c>
      <c r="AF6" s="17" t="str">
        <f>VLOOKUP(A6,Referencias!A:D,2,0)</f>
        <v>IWQU</v>
      </c>
      <c r="AG6" s="17" t="str">
        <f>VLOOKUP(A6,Referencias!A:D,3,0)</f>
        <v>RV WD_Quality</v>
      </c>
      <c r="AH6" s="17" t="str">
        <f>VLOOKUP(A6,Referencias!A:D,4,0)</f>
        <v>Sem</v>
      </c>
    </row>
    <row r="7" spans="1:34" x14ac:dyDescent="0.25">
      <c r="A7" t="s">
        <v>9</v>
      </c>
      <c r="B7">
        <v>15</v>
      </c>
      <c r="C7">
        <v>488.34492</v>
      </c>
      <c r="D7">
        <v>97.0833333333333</v>
      </c>
      <c r="E7">
        <v>97.0833333333333</v>
      </c>
      <c r="F7" t="s">
        <v>111</v>
      </c>
      <c r="G7" t="s">
        <v>134</v>
      </c>
      <c r="H7" t="s">
        <v>135</v>
      </c>
      <c r="I7" t="s">
        <v>11</v>
      </c>
      <c r="J7" t="s">
        <v>136</v>
      </c>
      <c r="K7" t="s">
        <v>137</v>
      </c>
      <c r="L7">
        <v>7325.1737999999996</v>
      </c>
      <c r="M7">
        <v>1</v>
      </c>
      <c r="N7">
        <v>635.02967786788895</v>
      </c>
      <c r="O7">
        <v>1.6504348137407301</v>
      </c>
      <c r="P7">
        <v>0.26057608168247998</v>
      </c>
      <c r="Q7">
        <v>117.67</v>
      </c>
      <c r="R7">
        <v>-0.21</v>
      </c>
      <c r="S7">
        <v>-0.15</v>
      </c>
      <c r="T7">
        <v>0</v>
      </c>
      <c r="U7">
        <v>0</v>
      </c>
      <c r="V7">
        <v>10.3844139554941</v>
      </c>
      <c r="W7">
        <v>0</v>
      </c>
      <c r="X7" s="3">
        <v>44958</v>
      </c>
      <c r="Y7" t="s">
        <v>138</v>
      </c>
      <c r="Z7">
        <v>9525.4451680183392</v>
      </c>
      <c r="AA7">
        <v>2200.2713680183401</v>
      </c>
      <c r="AB7">
        <v>30.037121686018398</v>
      </c>
      <c r="AC7">
        <v>24.756522206110901</v>
      </c>
      <c r="AD7">
        <v>0.26057608168249202</v>
      </c>
      <c r="AE7" t="s">
        <v>124</v>
      </c>
      <c r="AF7" s="17" t="str">
        <f>VLOOKUP(A7,Referencias!A:D,2,0)</f>
        <v>ACWV</v>
      </c>
      <c r="AG7" s="17" t="str">
        <f>VLOOKUP(A7,Referencias!A:D,3,0)</f>
        <v>RV WD_LowVol</v>
      </c>
      <c r="AH7" s="17" t="str">
        <f>VLOOKUP(A7,Referencias!A:D,4,0)</f>
        <v>Sem</v>
      </c>
    </row>
    <row r="8" spans="1:34" x14ac:dyDescent="0.25">
      <c r="A8" t="s">
        <v>8</v>
      </c>
      <c r="B8">
        <v>1350</v>
      </c>
      <c r="C8">
        <v>90.319761952433097</v>
      </c>
      <c r="D8">
        <v>90.319761952433097</v>
      </c>
      <c r="E8">
        <v>17.639568656980298</v>
      </c>
      <c r="F8" t="s">
        <v>194</v>
      </c>
      <c r="G8" t="s">
        <v>139</v>
      </c>
      <c r="H8" t="s">
        <v>140</v>
      </c>
      <c r="I8" t="s">
        <v>16</v>
      </c>
      <c r="J8" t="s">
        <v>141</v>
      </c>
      <c r="K8" t="s">
        <v>142</v>
      </c>
      <c r="L8">
        <v>121931.678635784</v>
      </c>
      <c r="M8">
        <v>1</v>
      </c>
      <c r="N8">
        <v>58.5</v>
      </c>
      <c r="O8">
        <v>0</v>
      </c>
      <c r="P8">
        <v>0</v>
      </c>
      <c r="Q8">
        <v>0</v>
      </c>
      <c r="R8">
        <v>0</v>
      </c>
      <c r="S8">
        <v>0</v>
      </c>
      <c r="T8">
        <v>59947.19</v>
      </c>
      <c r="U8">
        <v>14161.4486357847</v>
      </c>
      <c r="V8">
        <v>8.1370815509941394</v>
      </c>
      <c r="W8">
        <v>0</v>
      </c>
      <c r="X8" s="3">
        <v>43341</v>
      </c>
      <c r="Y8" t="s">
        <v>143</v>
      </c>
      <c r="Z8">
        <v>78975</v>
      </c>
      <c r="AA8">
        <v>-42956.678635784701</v>
      </c>
      <c r="AB8">
        <v>-35.230121586448497</v>
      </c>
      <c r="AC8">
        <v>0</v>
      </c>
      <c r="AD8">
        <v>0</v>
      </c>
      <c r="AE8" t="s">
        <v>109</v>
      </c>
      <c r="AF8" s="17" t="str">
        <f>VLOOKUP(A8,Referencias!A:D,2,0)</f>
        <v>IRDM11</v>
      </c>
      <c r="AG8" s="17" t="str">
        <f>VLOOKUP(A8,Referencias!A:D,3,0)</f>
        <v>RV_FII</v>
      </c>
      <c r="AH8" s="17" t="str">
        <f>VLOOKUP(A8,Referencias!A:D,4,0)</f>
        <v>D+2</v>
      </c>
    </row>
    <row r="9" spans="1:34" x14ac:dyDescent="0.25">
      <c r="A9" t="s">
        <v>7</v>
      </c>
      <c r="B9">
        <v>1000</v>
      </c>
      <c r="C9">
        <v>96.502009999999999</v>
      </c>
      <c r="D9">
        <v>96.502009999999999</v>
      </c>
      <c r="E9">
        <v>17.206883657285299</v>
      </c>
      <c r="F9" t="s">
        <v>111</v>
      </c>
      <c r="G9" t="s">
        <v>144</v>
      </c>
      <c r="H9" t="s">
        <v>145</v>
      </c>
      <c r="I9" t="s">
        <v>16</v>
      </c>
      <c r="J9" t="s">
        <v>146</v>
      </c>
      <c r="K9" t="s">
        <v>116</v>
      </c>
      <c r="L9">
        <v>96502.01</v>
      </c>
      <c r="M9">
        <v>1</v>
      </c>
      <c r="N9">
        <v>98.07</v>
      </c>
      <c r="O9">
        <v>-0.43</v>
      </c>
      <c r="P9">
        <v>-0.44</v>
      </c>
      <c r="Q9">
        <v>0</v>
      </c>
      <c r="R9">
        <v>0</v>
      </c>
      <c r="S9">
        <v>0</v>
      </c>
      <c r="T9">
        <v>22372.5</v>
      </c>
      <c r="U9">
        <v>0</v>
      </c>
      <c r="V9">
        <v>22.5755394253029</v>
      </c>
      <c r="W9">
        <v>0</v>
      </c>
      <c r="X9" s="3">
        <v>45000</v>
      </c>
      <c r="Y9" t="s">
        <v>147</v>
      </c>
      <c r="Z9">
        <v>98070</v>
      </c>
      <c r="AA9">
        <v>1567.99</v>
      </c>
      <c r="AB9">
        <v>1.6248262600955199</v>
      </c>
      <c r="AC9">
        <v>-430</v>
      </c>
      <c r="AD9">
        <v>-0.43654822335025301</v>
      </c>
      <c r="AE9" t="s">
        <v>148</v>
      </c>
      <c r="AF9" s="17" t="str">
        <f>VLOOKUP(A9,Referencias!A:D,2,0)</f>
        <v>JURO11</v>
      </c>
      <c r="AG9" s="17" t="str">
        <f>VLOOKUP(A9,Referencias!A:D,3,0)</f>
        <v>RF_Infra</v>
      </c>
      <c r="AH9" s="17" t="str">
        <f>VLOOKUP(A9,Referencias!A:D,4,0)</f>
        <v>D+2</v>
      </c>
    </row>
    <row r="10" spans="1:34" x14ac:dyDescent="0.25">
      <c r="A10" t="s">
        <v>149</v>
      </c>
      <c r="B10">
        <v>345941.19521257997</v>
      </c>
      <c r="C10">
        <v>0.60952493333788205</v>
      </c>
      <c r="D10">
        <v>0.60952493333788205</v>
      </c>
      <c r="E10">
        <v>0.119416001750902</v>
      </c>
      <c r="F10" t="s">
        <v>111</v>
      </c>
      <c r="G10" t="s">
        <v>150</v>
      </c>
      <c r="H10" t="s">
        <v>149</v>
      </c>
      <c r="I10" t="s">
        <v>16</v>
      </c>
      <c r="J10" t="s">
        <v>151</v>
      </c>
      <c r="K10" t="s">
        <v>152</v>
      </c>
      <c r="L10">
        <v>210859.78395077499</v>
      </c>
      <c r="M10">
        <v>1</v>
      </c>
      <c r="N10">
        <v>0.54785859999999997</v>
      </c>
      <c r="O10">
        <v>1.63749999999995E-3</v>
      </c>
      <c r="P10">
        <v>0.29978702763404602</v>
      </c>
      <c r="Q10">
        <v>0</v>
      </c>
      <c r="R10">
        <v>0</v>
      </c>
      <c r="S10">
        <v>0</v>
      </c>
      <c r="T10">
        <v>0</v>
      </c>
      <c r="U10">
        <v>-1800.61367335348</v>
      </c>
      <c r="V10">
        <v>-3.08310513762286</v>
      </c>
      <c r="W10">
        <v>0</v>
      </c>
      <c r="X10" s="3">
        <v>44396</v>
      </c>
      <c r="Y10" t="s">
        <v>153</v>
      </c>
      <c r="Z10">
        <v>189526.85889149</v>
      </c>
      <c r="AA10">
        <v>-21332.9250592844</v>
      </c>
      <c r="AB10">
        <v>-10.1171141597416</v>
      </c>
      <c r="AC10">
        <v>566.47870716058503</v>
      </c>
      <c r="AD10">
        <v>0.29978702763404003</v>
      </c>
      <c r="AE10" t="s">
        <v>109</v>
      </c>
      <c r="AF10" s="17" t="str">
        <f>VLOOKUP(A10,Referencias!A:D,2,0)</f>
        <v xml:space="preserve">BOGARI VALUE Q </v>
      </c>
      <c r="AG10" s="17" t="str">
        <f>VLOOKUP(A10,Referencias!A:D,3,0)</f>
        <v>Prev_FIA</v>
      </c>
      <c r="AH10" s="17" t="str">
        <f>VLOOKUP(A10,Referencias!A:D,4,0)</f>
        <v>Sem</v>
      </c>
    </row>
    <row r="11" spans="1:34" x14ac:dyDescent="0.25">
      <c r="A11" t="s">
        <v>154</v>
      </c>
      <c r="B11">
        <v>31987.540041479999</v>
      </c>
      <c r="C11">
        <v>1.2174777446269001</v>
      </c>
      <c r="D11">
        <v>1.2174777446269001</v>
      </c>
      <c r="E11">
        <v>0.214012629880589</v>
      </c>
      <c r="F11" t="s">
        <v>111</v>
      </c>
      <c r="G11" t="s">
        <v>150</v>
      </c>
      <c r="H11" t="s">
        <v>154</v>
      </c>
      <c r="I11" t="s">
        <v>16</v>
      </c>
      <c r="J11" t="s">
        <v>155</v>
      </c>
      <c r="K11" t="s">
        <v>156</v>
      </c>
      <c r="L11">
        <v>38944.118105863898</v>
      </c>
      <c r="M11">
        <v>1</v>
      </c>
      <c r="N11">
        <v>1.290074596363</v>
      </c>
      <c r="O11">
        <v>-7.7083375999986703E-4</v>
      </c>
      <c r="P11">
        <v>-5.9715419213779403E-2</v>
      </c>
      <c r="Q11">
        <v>0</v>
      </c>
      <c r="R11">
        <v>0</v>
      </c>
      <c r="S11">
        <v>0</v>
      </c>
      <c r="T11">
        <v>0</v>
      </c>
      <c r="U11">
        <v>0</v>
      </c>
      <c r="V11">
        <v>5.7221603203224003</v>
      </c>
      <c r="W11">
        <v>0</v>
      </c>
      <c r="X11" s="3">
        <v>45468</v>
      </c>
      <c r="Y11" t="s">
        <v>157</v>
      </c>
      <c r="Z11">
        <v>41266.312807657603</v>
      </c>
      <c r="AA11">
        <v>2322.19470179363</v>
      </c>
      <c r="AB11">
        <v>5.9628894291073102</v>
      </c>
      <c r="AC11">
        <v>-24.6570757633203</v>
      </c>
      <c r="AD11">
        <v>-5.9715419213779701E-2</v>
      </c>
      <c r="AE11" t="s">
        <v>148</v>
      </c>
      <c r="AF11" s="17" t="str">
        <f>VLOOKUP(A11,Referencias!A:D,2,0)</f>
        <v>BTG NTN-B 2035 PREV</v>
      </c>
      <c r="AG11" s="17" t="str">
        <f>VLOOKUP(A11,Referencias!A:D,3,0)</f>
        <v>Prev_Inflação</v>
      </c>
      <c r="AH11" s="17" t="str">
        <f>VLOOKUP(A11,Referencias!A:D,4,0)</f>
        <v>Sem</v>
      </c>
    </row>
    <row r="12" spans="1:34" x14ac:dyDescent="0.25">
      <c r="A12" t="s">
        <v>158</v>
      </c>
      <c r="B12">
        <v>35703.565103819899</v>
      </c>
      <c r="C12">
        <v>1.1016127165716001</v>
      </c>
      <c r="D12">
        <v>1.1016127165716001</v>
      </c>
      <c r="E12">
        <v>0.21769601215527401</v>
      </c>
      <c r="F12" t="s">
        <v>111</v>
      </c>
      <c r="G12" t="s">
        <v>150</v>
      </c>
      <c r="H12" t="s">
        <v>158</v>
      </c>
      <c r="I12" t="s">
        <v>16</v>
      </c>
      <c r="J12" t="s">
        <v>159</v>
      </c>
      <c r="K12" t="s">
        <v>160</v>
      </c>
      <c r="L12">
        <v>39331.501345310098</v>
      </c>
      <c r="M12">
        <v>1</v>
      </c>
      <c r="N12">
        <v>1.3374093</v>
      </c>
      <c r="O12">
        <v>3.4461000000001098E-3</v>
      </c>
      <c r="P12">
        <v>0.25833546232760701</v>
      </c>
      <c r="Q12">
        <v>0</v>
      </c>
      <c r="R12">
        <v>0</v>
      </c>
      <c r="S12">
        <v>0</v>
      </c>
      <c r="T12">
        <v>0</v>
      </c>
      <c r="U12">
        <v>0</v>
      </c>
      <c r="V12">
        <v>10.920122690691199</v>
      </c>
      <c r="W12">
        <v>0</v>
      </c>
      <c r="X12" s="3">
        <v>45091</v>
      </c>
      <c r="Y12" t="s">
        <v>161</v>
      </c>
      <c r="Z12">
        <v>47750.280013004303</v>
      </c>
      <c r="AA12">
        <v>8418.7786676941796</v>
      </c>
      <c r="AB12">
        <v>21.4046715221513</v>
      </c>
      <c r="AC12">
        <v>123.03805570427799</v>
      </c>
      <c r="AD12">
        <v>0.25833546232760501</v>
      </c>
      <c r="AE12" t="s">
        <v>148</v>
      </c>
      <c r="AF12" s="17" t="str">
        <f>VLOOKUP(A12,Referencias!A:D,2,0)</f>
        <v>BOGLEPREV</v>
      </c>
      <c r="AG12" s="17" t="str">
        <f>VLOOKUP(A12,Referencias!A:D,3,0)</f>
        <v>Prev_FIM</v>
      </c>
      <c r="AH12" s="17" t="str">
        <f>VLOOKUP(A12,Referencias!A:D,4,0)</f>
        <v>Sem</v>
      </c>
    </row>
    <row r="13" spans="1:34" x14ac:dyDescent="0.25">
      <c r="A13" t="s">
        <v>162</v>
      </c>
      <c r="B13">
        <v>15399.858801</v>
      </c>
      <c r="C13">
        <v>1.09291099</v>
      </c>
      <c r="D13">
        <v>1.09291099</v>
      </c>
      <c r="E13">
        <v>0.219442412256043</v>
      </c>
      <c r="F13" t="s">
        <v>111</v>
      </c>
      <c r="G13" t="s">
        <v>150</v>
      </c>
      <c r="H13" t="s">
        <v>162</v>
      </c>
      <c r="I13" t="s">
        <v>16</v>
      </c>
      <c r="J13" t="s">
        <v>163</v>
      </c>
      <c r="K13" t="s">
        <v>160</v>
      </c>
      <c r="L13">
        <v>16830.6749280611</v>
      </c>
      <c r="M13">
        <v>1</v>
      </c>
      <c r="N13">
        <v>0.99008332536599997</v>
      </c>
      <c r="O13">
        <v>7.3870974329999202E-3</v>
      </c>
      <c r="P13">
        <v>0.751717287908793</v>
      </c>
      <c r="Q13">
        <v>0</v>
      </c>
      <c r="R13">
        <v>0</v>
      </c>
      <c r="S13">
        <v>0</v>
      </c>
      <c r="T13">
        <v>0</v>
      </c>
      <c r="U13">
        <v>0</v>
      </c>
      <c r="V13">
        <v>-5.52140079514876</v>
      </c>
      <c r="W13">
        <v>0</v>
      </c>
      <c r="X13" s="3">
        <v>45330</v>
      </c>
      <c r="Y13" t="s">
        <v>164</v>
      </c>
      <c r="Z13">
        <v>15247.1434118609</v>
      </c>
      <c r="AA13">
        <v>-1583.53151620018</v>
      </c>
      <c r="AB13">
        <v>-9.4086037723895402</v>
      </c>
      <c r="AC13">
        <v>113.76025741742799</v>
      </c>
      <c r="AD13">
        <v>0.751717287908789</v>
      </c>
      <c r="AE13" t="s">
        <v>109</v>
      </c>
      <c r="AF13" s="17" t="str">
        <f>VLOOKUP(A13,Referencias!A:D,2,0)</f>
        <v>BTG FMP CARTEIRA LIVRE</v>
      </c>
      <c r="AG13" s="17" t="str">
        <f>VLOOKUP(A13,Referencias!A:D,3,0)</f>
        <v>Prev_FIA</v>
      </c>
      <c r="AH13" s="17" t="str">
        <f>VLOOKUP(A13,Referencias!A:D,4,0)</f>
        <v>Sem</v>
      </c>
    </row>
    <row r="14" spans="1:34" x14ac:dyDescent="0.25">
      <c r="A14" t="s">
        <v>165</v>
      </c>
      <c r="B14">
        <v>14515.341548169999</v>
      </c>
      <c r="C14">
        <v>0.92619951879245399</v>
      </c>
      <c r="D14">
        <v>0.92619951879245399</v>
      </c>
      <c r="E14">
        <v>0.16294302322696799</v>
      </c>
      <c r="F14" t="s">
        <v>111</v>
      </c>
      <c r="G14" t="s">
        <v>150</v>
      </c>
      <c r="H14" t="s">
        <v>165</v>
      </c>
      <c r="I14" t="s">
        <v>16</v>
      </c>
      <c r="J14" t="s">
        <v>155</v>
      </c>
      <c r="K14" t="s">
        <v>160</v>
      </c>
      <c r="L14">
        <v>13444.102357023099</v>
      </c>
      <c r="M14">
        <v>1</v>
      </c>
      <c r="N14">
        <v>0.98721431243299995</v>
      </c>
      <c r="O14">
        <v>3.4910175119999801E-3</v>
      </c>
      <c r="P14">
        <v>0.35487799567461797</v>
      </c>
      <c r="Q14">
        <v>0</v>
      </c>
      <c r="R14">
        <v>0</v>
      </c>
      <c r="S14">
        <v>0</v>
      </c>
      <c r="T14">
        <v>0</v>
      </c>
      <c r="U14">
        <v>0</v>
      </c>
      <c r="V14">
        <v>5.9470421124204798</v>
      </c>
      <c r="W14">
        <v>0</v>
      </c>
      <c r="X14" s="3">
        <v>45468</v>
      </c>
      <c r="Y14" t="s">
        <v>166</v>
      </c>
      <c r="Z14">
        <v>14329.7529262068</v>
      </c>
      <c r="AA14">
        <v>885.65056918363496</v>
      </c>
      <c r="AB14">
        <v>6.5876511920557697</v>
      </c>
      <c r="AC14">
        <v>50.673311537322398</v>
      </c>
      <c r="AD14">
        <v>0.35487799567461997</v>
      </c>
      <c r="AE14" t="s">
        <v>148</v>
      </c>
      <c r="AF14" s="17" t="str">
        <f>VLOOKUP(A14,Referencias!A:D,2,0)</f>
        <v>BTG NTN-B 2055 PREV</v>
      </c>
      <c r="AG14" s="17" t="str">
        <f>VLOOKUP(A14,Referencias!A:D,3,0)</f>
        <v>Prev_Inflação</v>
      </c>
      <c r="AH14" s="17" t="str">
        <f>VLOOKUP(A14,Referencias!A:D,4,0)</f>
        <v>Sem</v>
      </c>
    </row>
    <row r="15" spans="1:34" x14ac:dyDescent="0.25">
      <c r="A15" t="s">
        <v>167</v>
      </c>
      <c r="B15">
        <v>40955.202182239998</v>
      </c>
      <c r="C15">
        <v>0.99621067478499203</v>
      </c>
      <c r="D15">
        <v>0.99621067478499203</v>
      </c>
      <c r="E15">
        <v>0.17151120058566</v>
      </c>
      <c r="F15" t="s">
        <v>111</v>
      </c>
      <c r="G15" t="s">
        <v>150</v>
      </c>
      <c r="H15" t="s">
        <v>167</v>
      </c>
      <c r="I15" t="s">
        <v>16</v>
      </c>
      <c r="J15" t="s">
        <v>155</v>
      </c>
      <c r="K15" t="s">
        <v>160</v>
      </c>
      <c r="L15">
        <v>40800.0096019251</v>
      </c>
      <c r="M15">
        <v>1</v>
      </c>
      <c r="N15">
        <v>1.0583591192890001</v>
      </c>
      <c r="O15">
        <v>3.68138380000004E-3</v>
      </c>
      <c r="P15">
        <v>0.34905295486238302</v>
      </c>
      <c r="Q15">
        <v>0</v>
      </c>
      <c r="R15">
        <v>0</v>
      </c>
      <c r="S15">
        <v>0</v>
      </c>
      <c r="T15">
        <v>0</v>
      </c>
      <c r="U15">
        <v>0</v>
      </c>
      <c r="V15">
        <v>6.5031128206631097</v>
      </c>
      <c r="W15">
        <v>0</v>
      </c>
      <c r="X15" s="3">
        <v>45586</v>
      </c>
      <c r="Y15" t="s">
        <v>168</v>
      </c>
      <c r="Z15">
        <v>43345.311711898401</v>
      </c>
      <c r="AA15">
        <v>2545.3021099733401</v>
      </c>
      <c r="AB15">
        <v>6.2384840954871903</v>
      </c>
      <c r="AC15">
        <v>150.77181783942399</v>
      </c>
      <c r="AD15">
        <v>0.34905295486238502</v>
      </c>
      <c r="AE15" t="s">
        <v>148</v>
      </c>
      <c r="AF15" s="17" t="str">
        <f>VLOOKUP(A15,Referencias!A:D,2,0)</f>
        <v>BTG NTN-B 2045 PREV</v>
      </c>
      <c r="AG15" s="17" t="str">
        <f>VLOOKUP(A15,Referencias!A:D,3,0)</f>
        <v>Prev_Inflação</v>
      </c>
      <c r="AH15" s="17" t="str">
        <f>VLOOKUP(A15,Referencias!A:D,4,0)</f>
        <v>Sem</v>
      </c>
    </row>
    <row r="16" spans="1:34" x14ac:dyDescent="0.25">
      <c r="A16" t="s">
        <v>0</v>
      </c>
      <c r="B16">
        <v>71055.146191239997</v>
      </c>
      <c r="C16">
        <v>1.0560465784746</v>
      </c>
      <c r="D16">
        <v>1.0560465784746</v>
      </c>
      <c r="E16">
        <v>0.19821725768470599</v>
      </c>
      <c r="F16" t="s">
        <v>111</v>
      </c>
      <c r="G16" t="s">
        <v>169</v>
      </c>
      <c r="H16" t="s">
        <v>170</v>
      </c>
      <c r="I16" t="s">
        <v>16</v>
      </c>
      <c r="J16" t="s">
        <v>171</v>
      </c>
      <c r="K16" t="s">
        <v>172</v>
      </c>
      <c r="L16">
        <v>75037.544018271597</v>
      </c>
      <c r="M16">
        <v>1</v>
      </c>
      <c r="N16">
        <v>1.18311698034848</v>
      </c>
      <c r="O16">
        <v>0</v>
      </c>
      <c r="P16">
        <v>0</v>
      </c>
      <c r="Q16">
        <v>0</v>
      </c>
      <c r="R16">
        <v>0</v>
      </c>
      <c r="S16">
        <v>0</v>
      </c>
      <c r="T16">
        <v>892.79</v>
      </c>
      <c r="U16">
        <v>891.43401827159005</v>
      </c>
      <c r="V16">
        <v>6.5326233121362103</v>
      </c>
      <c r="W16">
        <v>0</v>
      </c>
      <c r="X16" s="3">
        <v>44771</v>
      </c>
      <c r="Y16" t="s">
        <v>0</v>
      </c>
      <c r="Z16">
        <v>84066.55</v>
      </c>
      <c r="AA16">
        <v>9029.0059817284</v>
      </c>
      <c r="AB16">
        <v>12.0326512545904</v>
      </c>
      <c r="AC16">
        <v>0</v>
      </c>
      <c r="AD16">
        <v>0</v>
      </c>
      <c r="AE16" t="s">
        <v>148</v>
      </c>
      <c r="AF16" s="17" t="str">
        <f>VLOOKUP(A16,Referencias!A:D,2,0)</f>
        <v>FGTS</v>
      </c>
      <c r="AG16" s="17" t="str">
        <f>VLOOKUP(A16,Referencias!A:D,3,0)</f>
        <v>FGTS</v>
      </c>
      <c r="AH16" s="17" t="str">
        <f>VLOOKUP(A16,Referencias!A:D,4,0)</f>
        <v>Sem</v>
      </c>
    </row>
    <row r="17" spans="1:34" x14ac:dyDescent="0.25">
      <c r="A17" t="s">
        <v>173</v>
      </c>
      <c r="B17">
        <v>25.119999894613098</v>
      </c>
      <c r="C17">
        <v>2028.3659400383301</v>
      </c>
      <c r="D17">
        <v>2028.3659400383301</v>
      </c>
      <c r="E17">
        <v>375.26792237746901</v>
      </c>
      <c r="F17" t="s">
        <v>111</v>
      </c>
      <c r="G17" t="s">
        <v>169</v>
      </c>
      <c r="H17" t="s">
        <v>173</v>
      </c>
      <c r="I17" t="s">
        <v>16</v>
      </c>
      <c r="J17" t="s">
        <v>174</v>
      </c>
      <c r="K17" t="s">
        <v>175</v>
      </c>
      <c r="L17">
        <v>50952.552199999998</v>
      </c>
      <c r="M17">
        <v>1</v>
      </c>
      <c r="N17">
        <v>2281.37</v>
      </c>
      <c r="O17">
        <v>-13.090000000000099</v>
      </c>
      <c r="P17">
        <v>-0.57050460674843395</v>
      </c>
      <c r="Q17">
        <v>0</v>
      </c>
      <c r="R17">
        <v>0</v>
      </c>
      <c r="S17">
        <v>0</v>
      </c>
      <c r="T17">
        <v>0</v>
      </c>
      <c r="U17">
        <v>0</v>
      </c>
      <c r="V17">
        <v>5.8291784750232303</v>
      </c>
      <c r="W17">
        <v>0</v>
      </c>
      <c r="X17" s="3">
        <v>44768</v>
      </c>
      <c r="Y17" t="s">
        <v>176</v>
      </c>
      <c r="Z17">
        <v>57308.014159573599</v>
      </c>
      <c r="AA17">
        <v>6355.4619595736003</v>
      </c>
      <c r="AB17">
        <v>12.4732946342452</v>
      </c>
      <c r="AC17">
        <v>-328.82079862048897</v>
      </c>
      <c r="AD17">
        <v>-0.57050460674843495</v>
      </c>
      <c r="AE17" t="s">
        <v>148</v>
      </c>
      <c r="AF17" s="17" t="str">
        <f>VLOOKUP(A17,Referencias!A:D,2,0)</f>
        <v>TD:IPCA2035</v>
      </c>
      <c r="AG17" s="17" t="str">
        <f>VLOOKUP(A17,Referencias!A:D,3,0)</f>
        <v>RF_Inflação</v>
      </c>
      <c r="AH17" s="17" t="str">
        <f>VLOOKUP(A17,Referencias!A:D,4,0)</f>
        <v>D+1</v>
      </c>
    </row>
    <row r="18" spans="1:34" x14ac:dyDescent="0.25">
      <c r="A18" t="s">
        <v>177</v>
      </c>
      <c r="B18">
        <v>40.139992837018198</v>
      </c>
      <c r="C18">
        <v>1021.12378710241</v>
      </c>
      <c r="D18">
        <v>1021.12378710241</v>
      </c>
      <c r="E18">
        <v>186.28594939722501</v>
      </c>
      <c r="F18" t="s">
        <v>111</v>
      </c>
      <c r="G18" t="s">
        <v>169</v>
      </c>
      <c r="H18" t="s">
        <v>177</v>
      </c>
      <c r="I18" t="s">
        <v>16</v>
      </c>
      <c r="J18" t="s">
        <v>174</v>
      </c>
      <c r="K18" t="s">
        <v>175</v>
      </c>
      <c r="L18">
        <v>40987.901499999898</v>
      </c>
      <c r="M18">
        <v>1</v>
      </c>
      <c r="N18">
        <v>1172.99</v>
      </c>
      <c r="O18">
        <v>-3.75999999999999</v>
      </c>
      <c r="P18">
        <v>-0.31952411302314998</v>
      </c>
      <c r="Q18">
        <v>0</v>
      </c>
      <c r="R18">
        <v>0</v>
      </c>
      <c r="S18">
        <v>0</v>
      </c>
      <c r="T18">
        <v>0</v>
      </c>
      <c r="U18">
        <v>0</v>
      </c>
      <c r="V18">
        <v>5.7047606012492302</v>
      </c>
      <c r="W18">
        <v>0</v>
      </c>
      <c r="X18" s="3">
        <v>44768</v>
      </c>
      <c r="Y18" t="s">
        <v>176</v>
      </c>
      <c r="Z18">
        <v>47083.810197894003</v>
      </c>
      <c r="AA18">
        <v>6095.9086978940904</v>
      </c>
      <c r="AB18">
        <v>14.872458639762399</v>
      </c>
      <c r="AC18">
        <v>-150.926373067188</v>
      </c>
      <c r="AD18">
        <v>-0.31952411302315598</v>
      </c>
      <c r="AE18" t="s">
        <v>148</v>
      </c>
      <c r="AF18" s="17" t="str">
        <f>VLOOKUP(A18,Referencias!A:D,2,0)</f>
        <v>TD:IPCA2045</v>
      </c>
      <c r="AG18" s="17" t="str">
        <f>VLOOKUP(A18,Referencias!A:D,3,0)</f>
        <v>RF_Inflação</v>
      </c>
      <c r="AH18" s="17" t="str">
        <f>VLOOKUP(A18,Referencias!A:D,4,0)</f>
        <v>D+1</v>
      </c>
    </row>
    <row r="19" spans="1:34" x14ac:dyDescent="0.25">
      <c r="A19" t="s">
        <v>178</v>
      </c>
      <c r="B19">
        <v>947.68253521547001</v>
      </c>
      <c r="C19">
        <v>14.021229678748201</v>
      </c>
      <c r="D19">
        <v>14.021229678748201</v>
      </c>
      <c r="E19">
        <v>2.4667161329855598</v>
      </c>
      <c r="F19" t="s">
        <v>111</v>
      </c>
      <c r="G19" t="s">
        <v>169</v>
      </c>
      <c r="H19" t="s">
        <v>179</v>
      </c>
      <c r="I19" t="s">
        <v>16</v>
      </c>
      <c r="J19" t="s">
        <v>115</v>
      </c>
      <c r="K19" t="s">
        <v>180</v>
      </c>
      <c r="L19">
        <v>13287.674488794501</v>
      </c>
      <c r="M19">
        <v>1</v>
      </c>
      <c r="N19">
        <v>15.0232904701181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1638.84448879457</v>
      </c>
      <c r="V19">
        <v>12.455690553692801</v>
      </c>
      <c r="W19">
        <v>0</v>
      </c>
      <c r="X19" s="3">
        <v>45665</v>
      </c>
      <c r="Y19" t="s">
        <v>178</v>
      </c>
      <c r="Z19">
        <v>14237.31</v>
      </c>
      <c r="AA19">
        <v>949.63551120543696</v>
      </c>
      <c r="AB19">
        <v>7.1467397248951299</v>
      </c>
      <c r="AC19">
        <v>0</v>
      </c>
      <c r="AD19">
        <v>0</v>
      </c>
      <c r="AF19" s="17" t="str">
        <f>VLOOKUP(A19,Referencias!A:D,2,0)</f>
        <v>TESOURO SELIC</v>
      </c>
      <c r="AG19" s="17" t="str">
        <f>VLOOKUP(A19,Referencias!A:D,3,0)</f>
        <v>RF_CDI</v>
      </c>
      <c r="AH19" s="17" t="str">
        <f>VLOOKUP(A19,Referencias!A:D,4,0)</f>
        <v>D+0</v>
      </c>
    </row>
    <row r="20" spans="1:34" x14ac:dyDescent="0.25">
      <c r="A20" t="s">
        <v>104</v>
      </c>
      <c r="B20">
        <v>759375.55553800205</v>
      </c>
      <c r="C20">
        <v>1.00741769263037</v>
      </c>
      <c r="D20">
        <v>1.00741769263037</v>
      </c>
      <c r="E20">
        <v>0.205581222306567</v>
      </c>
      <c r="F20" t="s">
        <v>105</v>
      </c>
      <c r="G20" t="s">
        <v>195</v>
      </c>
      <c r="H20" t="s">
        <v>106</v>
      </c>
      <c r="I20" t="s">
        <v>16</v>
      </c>
      <c r="J20" t="s">
        <v>107</v>
      </c>
      <c r="K20" t="s">
        <v>108</v>
      </c>
      <c r="L20">
        <v>765008.37</v>
      </c>
      <c r="M20">
        <v>1</v>
      </c>
      <c r="N20">
        <v>1.1786914175369501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7.8254167152860097</v>
      </c>
      <c r="W20">
        <v>0</v>
      </c>
      <c r="X20" s="3">
        <v>45086</v>
      </c>
      <c r="Y20" t="s">
        <v>104</v>
      </c>
      <c r="Z20">
        <v>895069.45</v>
      </c>
      <c r="AA20">
        <v>130061.079999999</v>
      </c>
      <c r="AB20">
        <v>17.001262352201401</v>
      </c>
      <c r="AC20">
        <v>0</v>
      </c>
      <c r="AD20">
        <v>0</v>
      </c>
      <c r="AE20" t="s">
        <v>109</v>
      </c>
      <c r="AF20" s="17" t="str">
        <f>VLOOKUP(A20,Referencias!A:D,2,0)</f>
        <v>MLUCA-ELO</v>
      </c>
      <c r="AG20" s="17" t="str">
        <f>VLOOKUP(A20,Referencias!A:D,3,0)</f>
        <v>RV_Clube</v>
      </c>
      <c r="AH20" s="17" t="str">
        <f>VLOOKUP(A20,Referencias!A:D,4,0)</f>
        <v>D+7</v>
      </c>
    </row>
    <row r="21" spans="1:34" x14ac:dyDescent="0.25">
      <c r="A21" t="s">
        <v>110</v>
      </c>
      <c r="B21">
        <v>685722.73962430004</v>
      </c>
      <c r="C21">
        <v>0.99993758465072302</v>
      </c>
      <c r="D21">
        <v>0.99993758465072302</v>
      </c>
      <c r="E21">
        <v>0.20543731922167599</v>
      </c>
      <c r="F21" t="s">
        <v>111</v>
      </c>
      <c r="G21" t="s">
        <v>195</v>
      </c>
      <c r="H21" t="s">
        <v>112</v>
      </c>
      <c r="I21" t="s">
        <v>16</v>
      </c>
      <c r="J21" t="s">
        <v>107</v>
      </c>
      <c r="K21" t="s">
        <v>108</v>
      </c>
      <c r="L21">
        <v>685679.93999999901</v>
      </c>
      <c r="M21">
        <v>1</v>
      </c>
      <c r="N21">
        <v>1.1511017272556301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6.7087951057899602</v>
      </c>
      <c r="W21">
        <v>0</v>
      </c>
      <c r="X21" s="3">
        <v>45086</v>
      </c>
      <c r="Y21" t="s">
        <v>110</v>
      </c>
      <c r="Z21">
        <v>789336.63</v>
      </c>
      <c r="AA21">
        <v>103656.69</v>
      </c>
      <c r="AB21">
        <v>15.1173578156596</v>
      </c>
      <c r="AC21">
        <v>0</v>
      </c>
      <c r="AD21">
        <v>0</v>
      </c>
      <c r="AE21" t="s">
        <v>109</v>
      </c>
      <c r="AF21" s="17" t="str">
        <f>VLOOKUP(A21,Referencias!A:D,2,0)</f>
        <v>MLUCA-MAR</v>
      </c>
      <c r="AG21" s="17" t="str">
        <f>VLOOKUP(A21,Referencias!A:D,3,0)</f>
        <v>RV_Clube</v>
      </c>
      <c r="AH21" s="17" t="str">
        <f>VLOOKUP(A21,Referencias!A:D,4,0)</f>
        <v>D+7</v>
      </c>
    </row>
    <row r="22" spans="1:34" x14ac:dyDescent="0.25">
      <c r="X22" s="3"/>
    </row>
    <row r="26" spans="1:34" x14ac:dyDescent="0.25">
      <c r="A26" s="7"/>
      <c r="B26" s="7"/>
      <c r="C26" s="7"/>
    </row>
    <row r="27" spans="1:34" x14ac:dyDescent="0.25">
      <c r="A27" s="7"/>
      <c r="B27" s="7"/>
      <c r="C27" s="7"/>
    </row>
    <row r="28" spans="1:34" x14ac:dyDescent="0.25">
      <c r="A28" s="7"/>
      <c r="B28" s="10"/>
      <c r="C28" s="7"/>
    </row>
    <row r="29" spans="1:34" x14ac:dyDescent="0.25">
      <c r="A29" s="7"/>
      <c r="B29" s="7"/>
      <c r="C29" s="7"/>
    </row>
    <row r="30" spans="1:34" x14ac:dyDescent="0.25">
      <c r="A30" s="7"/>
      <c r="B30" s="7"/>
      <c r="C30" s="7"/>
    </row>
    <row r="31" spans="1:34" x14ac:dyDescent="0.25">
      <c r="A31" s="7"/>
      <c r="B31" s="7"/>
      <c r="C31" s="7"/>
    </row>
    <row r="32" spans="1:34" x14ac:dyDescent="0.25">
      <c r="A32" s="7"/>
      <c r="B32" s="7"/>
      <c r="C32" s="7"/>
    </row>
    <row r="33" spans="1:3" x14ac:dyDescent="0.25">
      <c r="A33" s="7"/>
      <c r="B33" s="7"/>
      <c r="C33" s="7"/>
    </row>
    <row r="34" spans="1:3" x14ac:dyDescent="0.25">
      <c r="A34" s="7"/>
      <c r="B34" s="7"/>
      <c r="C34" s="7"/>
    </row>
    <row r="35" spans="1:3" x14ac:dyDescent="0.25">
      <c r="A35" s="7"/>
      <c r="B35" s="10"/>
      <c r="C35" s="7"/>
    </row>
    <row r="36" spans="1:3" x14ac:dyDescent="0.25">
      <c r="A36" s="7"/>
      <c r="B36" s="7"/>
      <c r="C36" s="7"/>
    </row>
    <row r="37" spans="1:3" x14ac:dyDescent="0.25">
      <c r="A37" s="7"/>
      <c r="B37" s="7"/>
      <c r="C37" s="7"/>
    </row>
    <row r="38" spans="1:3" x14ac:dyDescent="0.25">
      <c r="A38" s="7"/>
      <c r="B38" s="7"/>
      <c r="C38" s="7"/>
    </row>
    <row r="39" spans="1:3" x14ac:dyDescent="0.25">
      <c r="A39" s="7"/>
      <c r="B39" s="10"/>
      <c r="C39" s="7"/>
    </row>
    <row r="40" spans="1:3" x14ac:dyDescent="0.25">
      <c r="A40" s="7"/>
      <c r="B40" s="7"/>
      <c r="C40" s="7"/>
    </row>
    <row r="41" spans="1:3" x14ac:dyDescent="0.25">
      <c r="A41" s="7"/>
      <c r="B41" s="7"/>
      <c r="C41" s="7"/>
    </row>
    <row r="42" spans="1:3" x14ac:dyDescent="0.25">
      <c r="A42" s="7"/>
      <c r="B42" s="7"/>
      <c r="C42" s="7"/>
    </row>
    <row r="43" spans="1:3" x14ac:dyDescent="0.25">
      <c r="A43" s="7"/>
      <c r="B43" s="7"/>
      <c r="C43" s="7"/>
    </row>
    <row r="44" spans="1:3" x14ac:dyDescent="0.25">
      <c r="A44" s="7"/>
      <c r="B44" s="7"/>
      <c r="C44" s="7"/>
    </row>
    <row r="45" spans="1:3" x14ac:dyDescent="0.25">
      <c r="A45" s="7"/>
      <c r="B45" s="7"/>
      <c r="C45" s="7"/>
    </row>
    <row r="46" spans="1:3" x14ac:dyDescent="0.25">
      <c r="A46" s="7"/>
      <c r="B46" s="7"/>
      <c r="C46" s="7"/>
    </row>
    <row r="47" spans="1:3" x14ac:dyDescent="0.25">
      <c r="A47" s="7"/>
      <c r="B47" s="7"/>
      <c r="C47" s="7"/>
    </row>
    <row r="48" spans="1:3" x14ac:dyDescent="0.25">
      <c r="A48" s="7"/>
      <c r="B48" s="10"/>
      <c r="C48" s="7"/>
    </row>
    <row r="49" spans="1:3" x14ac:dyDescent="0.25">
      <c r="A49" s="7"/>
      <c r="B49" s="10"/>
      <c r="C49" s="7"/>
    </row>
    <row r="50" spans="1:3" x14ac:dyDescent="0.25">
      <c r="A50" s="7"/>
      <c r="B50" s="10"/>
      <c r="C50" s="7"/>
    </row>
  </sheetData>
  <phoneticPr fontId="10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C52DA-EA07-40D3-AAF1-AC124E05720A}">
  <dimension ref="A1:J21"/>
  <sheetViews>
    <sheetView workbookViewId="0">
      <selection activeCell="I10" sqref="I10"/>
    </sheetView>
  </sheetViews>
  <sheetFormatPr defaultRowHeight="15.75" x14ac:dyDescent="0.25"/>
  <cols>
    <col min="1" max="1" width="14.75" bestFit="1" customWidth="1"/>
    <col min="2" max="2" width="17.5" bestFit="1" customWidth="1"/>
    <col min="3" max="3" width="12.375" bestFit="1" customWidth="1"/>
    <col min="4" max="4" width="5.875" bestFit="1" customWidth="1"/>
    <col min="9" max="9" width="16.875" bestFit="1" customWidth="1"/>
    <col min="10" max="10" width="97.75" bestFit="1" customWidth="1"/>
  </cols>
  <sheetData>
    <row r="1" spans="1:10" x14ac:dyDescent="0.25">
      <c r="A1" s="8" t="s">
        <v>181</v>
      </c>
      <c r="B1" s="8" t="s">
        <v>182</v>
      </c>
      <c r="C1" s="11" t="s">
        <v>183</v>
      </c>
      <c r="D1" s="11" t="s">
        <v>198</v>
      </c>
      <c r="I1" s="2" t="s">
        <v>204</v>
      </c>
      <c r="J1" t="s">
        <v>205</v>
      </c>
    </row>
    <row r="2" spans="1:10" x14ac:dyDescent="0.25">
      <c r="A2" s="12" t="s">
        <v>104</v>
      </c>
      <c r="B2" s="12" t="s">
        <v>104</v>
      </c>
      <c r="C2" s="12" t="s">
        <v>23</v>
      </c>
      <c r="D2" s="12" t="s">
        <v>199</v>
      </c>
      <c r="I2" s="2" t="s">
        <v>206</v>
      </c>
      <c r="J2" t="s">
        <v>207</v>
      </c>
    </row>
    <row r="3" spans="1:10" x14ac:dyDescent="0.25">
      <c r="A3" s="12" t="s">
        <v>110</v>
      </c>
      <c r="B3" s="12" t="s">
        <v>110</v>
      </c>
      <c r="C3" s="12" t="s">
        <v>23</v>
      </c>
      <c r="D3" s="12" t="s">
        <v>199</v>
      </c>
      <c r="I3" s="2" t="s">
        <v>208</v>
      </c>
      <c r="J3" t="s">
        <v>209</v>
      </c>
    </row>
    <row r="4" spans="1:10" x14ac:dyDescent="0.25">
      <c r="A4" s="12" t="s">
        <v>149</v>
      </c>
      <c r="B4" s="13" t="s">
        <v>184</v>
      </c>
      <c r="C4" s="12" t="s">
        <v>28</v>
      </c>
      <c r="D4" s="12" t="s">
        <v>201</v>
      </c>
      <c r="I4" s="2" t="s">
        <v>210</v>
      </c>
      <c r="J4" t="s">
        <v>211</v>
      </c>
    </row>
    <row r="5" spans="1:10" x14ac:dyDescent="0.25">
      <c r="A5" s="12" t="s">
        <v>8</v>
      </c>
      <c r="B5" s="12" t="s">
        <v>8</v>
      </c>
      <c r="C5" s="12" t="s">
        <v>22</v>
      </c>
      <c r="D5" s="12" t="s">
        <v>200</v>
      </c>
    </row>
    <row r="6" spans="1:10" x14ac:dyDescent="0.25">
      <c r="A6" s="12" t="s">
        <v>14</v>
      </c>
      <c r="B6" s="12" t="s">
        <v>14</v>
      </c>
      <c r="C6" s="12" t="s">
        <v>32</v>
      </c>
      <c r="D6" s="12" t="s">
        <v>201</v>
      </c>
    </row>
    <row r="7" spans="1:10" x14ac:dyDescent="0.25">
      <c r="A7" s="12" t="s">
        <v>0</v>
      </c>
      <c r="B7" s="12" t="s">
        <v>0</v>
      </c>
      <c r="C7" s="12" t="s">
        <v>0</v>
      </c>
      <c r="D7" s="12" t="s">
        <v>201</v>
      </c>
    </row>
    <row r="8" spans="1:10" x14ac:dyDescent="0.25">
      <c r="A8" s="12" t="s">
        <v>177</v>
      </c>
      <c r="B8" s="12" t="s">
        <v>177</v>
      </c>
      <c r="C8" s="12" t="s">
        <v>18</v>
      </c>
      <c r="D8" s="12" t="s">
        <v>203</v>
      </c>
    </row>
    <row r="9" spans="1:10" x14ac:dyDescent="0.25">
      <c r="A9" s="12" t="s">
        <v>158</v>
      </c>
      <c r="B9" s="13" t="s">
        <v>186</v>
      </c>
      <c r="C9" s="12" t="s">
        <v>185</v>
      </c>
      <c r="D9" s="12" t="s">
        <v>201</v>
      </c>
    </row>
    <row r="10" spans="1:10" x14ac:dyDescent="0.25">
      <c r="A10" s="12" t="s">
        <v>7</v>
      </c>
      <c r="B10" s="12" t="s">
        <v>7</v>
      </c>
      <c r="C10" s="12" t="s">
        <v>20</v>
      </c>
      <c r="D10" s="12" t="s">
        <v>200</v>
      </c>
    </row>
    <row r="11" spans="1:10" x14ac:dyDescent="0.25">
      <c r="A11" s="12" t="s">
        <v>173</v>
      </c>
      <c r="B11" s="12" t="s">
        <v>173</v>
      </c>
      <c r="C11" s="12" t="s">
        <v>18</v>
      </c>
      <c r="D11" s="12" t="s">
        <v>203</v>
      </c>
    </row>
    <row r="12" spans="1:10" x14ac:dyDescent="0.25">
      <c r="A12" s="12" t="s">
        <v>6</v>
      </c>
      <c r="B12" s="12" t="s">
        <v>6</v>
      </c>
      <c r="C12" s="12" t="s">
        <v>26</v>
      </c>
      <c r="D12" s="12" t="s">
        <v>200</v>
      </c>
    </row>
    <row r="13" spans="1:10" x14ac:dyDescent="0.25">
      <c r="A13" s="12" t="s">
        <v>162</v>
      </c>
      <c r="B13" s="13" t="s">
        <v>187</v>
      </c>
      <c r="C13" s="12" t="s">
        <v>28</v>
      </c>
      <c r="D13" s="12" t="s">
        <v>201</v>
      </c>
    </row>
    <row r="14" spans="1:10" x14ac:dyDescent="0.25">
      <c r="A14" s="12" t="s">
        <v>13</v>
      </c>
      <c r="B14" s="12" t="s">
        <v>13</v>
      </c>
      <c r="C14" s="12" t="s">
        <v>33</v>
      </c>
      <c r="D14" s="12" t="s">
        <v>201</v>
      </c>
    </row>
    <row r="15" spans="1:10" x14ac:dyDescent="0.25">
      <c r="A15" s="12" t="s">
        <v>9</v>
      </c>
      <c r="B15" s="12" t="s">
        <v>9</v>
      </c>
      <c r="C15" s="12" t="s">
        <v>35</v>
      </c>
      <c r="D15" s="12" t="s">
        <v>201</v>
      </c>
    </row>
    <row r="16" spans="1:10" x14ac:dyDescent="0.25">
      <c r="A16" s="12" t="s">
        <v>10</v>
      </c>
      <c r="B16" s="12" t="s">
        <v>10</v>
      </c>
      <c r="C16" s="12" t="s">
        <v>34</v>
      </c>
      <c r="D16" s="12" t="s">
        <v>201</v>
      </c>
    </row>
    <row r="17" spans="1:4" x14ac:dyDescent="0.25">
      <c r="A17" s="12" t="s">
        <v>12</v>
      </c>
      <c r="B17" s="12" t="s">
        <v>12</v>
      </c>
      <c r="C17" s="12" t="s">
        <v>36</v>
      </c>
      <c r="D17" s="12" t="s">
        <v>201</v>
      </c>
    </row>
    <row r="18" spans="1:4" x14ac:dyDescent="0.25">
      <c r="A18" s="12" t="s">
        <v>178</v>
      </c>
      <c r="B18" s="12" t="s">
        <v>178</v>
      </c>
      <c r="C18" s="12" t="s">
        <v>19</v>
      </c>
      <c r="D18" s="12" t="s">
        <v>202</v>
      </c>
    </row>
    <row r="19" spans="1:4" x14ac:dyDescent="0.25">
      <c r="A19" s="12" t="s">
        <v>154</v>
      </c>
      <c r="B19" s="13" t="s">
        <v>188</v>
      </c>
      <c r="C19" s="12" t="s">
        <v>27</v>
      </c>
      <c r="D19" s="12" t="s">
        <v>201</v>
      </c>
    </row>
    <row r="20" spans="1:4" x14ac:dyDescent="0.25">
      <c r="A20" s="12" t="s">
        <v>165</v>
      </c>
      <c r="B20" s="13" t="s">
        <v>189</v>
      </c>
      <c r="C20" s="12" t="s">
        <v>27</v>
      </c>
      <c r="D20" s="12" t="s">
        <v>201</v>
      </c>
    </row>
    <row r="21" spans="1:4" x14ac:dyDescent="0.25">
      <c r="A21" s="12" t="s">
        <v>167</v>
      </c>
      <c r="B21" s="13" t="s">
        <v>190</v>
      </c>
      <c r="C21" s="12" t="s">
        <v>27</v>
      </c>
      <c r="D21" s="12" t="s">
        <v>201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data_ano</vt:lpstr>
      <vt:lpstr>data_mes</vt:lpstr>
      <vt:lpstr>data_port_historico</vt:lpstr>
      <vt:lpstr>data_port_mes</vt:lpstr>
      <vt:lpstr>Referencias</vt:lpstr>
      <vt:lpstr>data_ano!historico_calculos_Default_2024_05_04</vt:lpstr>
      <vt:lpstr>data_mes!historico_calculos_Default_2024_05_04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Marcelo Cardoso</cp:lastModifiedBy>
  <cp:revision/>
  <dcterms:created xsi:type="dcterms:W3CDTF">2022-06-08T21:47:02Z</dcterms:created>
  <dcterms:modified xsi:type="dcterms:W3CDTF">2025-11-14T15:55:58Z</dcterms:modified>
  <cp:category/>
  <cp:contentStatus/>
</cp:coreProperties>
</file>